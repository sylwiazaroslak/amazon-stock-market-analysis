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hidePivotFieldList="1" defaultThemeVersion="202300"/>
  <mc:AlternateContent xmlns:mc="http://schemas.openxmlformats.org/markup-compatibility/2006">
    <mc:Choice Requires="x15">
      <x15ac:absPath xmlns:x15ac="http://schemas.microsoft.com/office/spreadsheetml/2010/11/ac" url="/Users/s/Documents/Data Science/Excel Projects/Stock Market - visualisations/"/>
    </mc:Choice>
  </mc:AlternateContent>
  <xr:revisionPtr revIDLastSave="0" documentId="13_ncr:1_{B9930E2A-AA96-3141-9ADB-3C880839E0A8}" xr6:coauthVersionLast="47" xr6:coauthVersionMax="47" xr10:uidLastSave="{00000000-0000-0000-0000-000000000000}"/>
  <bookViews>
    <workbookView xWindow="0" yWindow="680" windowWidth="29400" windowHeight="16920" xr2:uid="{FFBD074D-84A4-B942-BFC1-C1D9A32FA7B6}"/>
  </bookViews>
  <sheets>
    <sheet name="Final_report" sheetId="7" r:id="rId1"/>
    <sheet name="Info" sheetId="2" r:id="rId2"/>
    <sheet name="Amazon_stock" sheetId="1" r:id="rId3"/>
    <sheet name="Daily_change" sheetId="3" r:id="rId4"/>
    <sheet name="Volume_analysis" sheetId="4" r:id="rId5"/>
    <sheet name="High_vs_low" sheetId="5" r:id="rId6"/>
    <sheet name="Volume_vs_price" sheetId="6" r:id="rId7"/>
  </sheets>
  <externalReferences>
    <externalReference r:id="rId8"/>
  </externalReferences>
  <definedNames>
    <definedName name="_xlchart.v1.0" hidden="1">Amazon_stock!$H$2:$H$253</definedName>
    <definedName name="_xlchart.v1.1" hidden="1">Amazon_stock!$H$2:$H$253</definedName>
  </definedNames>
  <calcPr calcId="191029"/>
  <pivotCaches>
    <pivotCache cacheId="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 i="1"/>
  <c r="C5" i="3" s="1"/>
  <c r="C4" i="3" l="1"/>
  <c r="C6" i="3"/>
</calcChain>
</file>

<file path=xl/sharedStrings.xml><?xml version="1.0" encoding="utf-8"?>
<sst xmlns="http://schemas.openxmlformats.org/spreadsheetml/2006/main" count="92" uniqueCount="77">
  <si>
    <t>Date</t>
  </si>
  <si>
    <t>Open</t>
  </si>
  <si>
    <t>High</t>
  </si>
  <si>
    <t>Low</t>
  </si>
  <si>
    <t>Close</t>
  </si>
  <si>
    <t>Volume</t>
  </si>
  <si>
    <t>About the Datasets</t>
  </si>
  <si>
    <t>Each of the datasets provide historical data at the daily level from December 2020 to November 2021. Their columns include the following:</t>
  </si>
  <si>
    <t>Date the data was recorded</t>
  </si>
  <si>
    <t>Price from the first transaction of a trading day</t>
  </si>
  <si>
    <t>Maximum price in a trading day</t>
  </si>
  <si>
    <t>Minimum price in a trading day</t>
  </si>
  <si>
    <t>Price from the last transaction of a trading day</t>
  </si>
  <si>
    <t>Number of units traded in a day</t>
  </si>
  <si>
    <t>*All displayed currencies are in USD.</t>
  </si>
  <si>
    <t>Increase</t>
  </si>
  <si>
    <t>Decrease</t>
  </si>
  <si>
    <t>Daily direction frequency</t>
  </si>
  <si>
    <t>Daily change</t>
  </si>
  <si>
    <t>No change</t>
  </si>
  <si>
    <t>2020</t>
  </si>
  <si>
    <t>2021</t>
  </si>
  <si>
    <t>Grand Total</t>
  </si>
  <si>
    <t>Dec</t>
  </si>
  <si>
    <t>Jan</t>
  </si>
  <si>
    <t>Feb</t>
  </si>
  <si>
    <t>Mar</t>
  </si>
  <si>
    <t>Apr</t>
  </si>
  <si>
    <t>May</t>
  </si>
  <si>
    <t>Jun</t>
  </si>
  <si>
    <t>Jul</t>
  </si>
  <si>
    <t>Aug</t>
  </si>
  <si>
    <t>Sep</t>
  </si>
  <si>
    <t>Oct</t>
  </si>
  <si>
    <t>Nov</t>
  </si>
  <si>
    <t>Month</t>
  </si>
  <si>
    <t>Net change</t>
  </si>
  <si>
    <t>Volume (millions)</t>
  </si>
  <si>
    <t>High - low</t>
  </si>
  <si>
    <t>Data Analysis Report: Market Dynamics &amp; Volatility</t>
  </si>
  <si>
    <t>Context &amp; Purpose</t>
  </si>
  <si>
    <r>
      <t>This report analyzes 12 months of historical trading data for </t>
    </r>
    <r>
      <rPr>
        <b/>
        <sz val="12"/>
        <color rgb="FF000000"/>
        <rFont val="Aptos Narrow"/>
        <family val="2"/>
        <charset val="238"/>
        <scheme val="minor"/>
      </rPr>
      <t>[Insert Company Name]</t>
    </r>
    <r>
      <rPr>
        <sz val="12"/>
        <color rgb="FF000000"/>
        <rFont val="Aptos Narrow"/>
        <family val="2"/>
        <charset val="238"/>
        <scheme val="minor"/>
      </rPr>
      <t>. The objective of this analysis was to process raw daily market metrics and translate them into visual insights, establishing a clear profile of how the stock behaves under different market conditions.</t>
    </r>
  </si>
  <si>
    <t>Analytical Objectives</t>
  </si>
  <si>
    <t>To evaluate the stock’s market stability and trading patterns, this report addresses four core operational questions:</t>
  </si>
  <si>
    <r>
      <t>Volume Distribution:</t>
    </r>
    <r>
      <rPr>
        <sz val="12"/>
        <color rgb="FF000000"/>
        <rFont val="Aptos Narrow"/>
        <family val="2"/>
        <charset val="238"/>
        <scheme val="minor"/>
      </rPr>
      <t> What constitutes a baseline trading day for this asset, and how frequent are high-volume anomalies?</t>
    </r>
  </si>
  <si>
    <r>
      <t>Chronological Trends:</t>
    </r>
    <r>
      <rPr>
        <sz val="12"/>
        <color rgb="FF000000"/>
        <rFont val="Aptos Narrow"/>
        <family val="2"/>
        <charset val="238"/>
        <scheme val="minor"/>
      </rPr>
      <t> How does trading activity fluctuate over time, and do surges in volume point to specific macro events?</t>
    </r>
  </si>
  <si>
    <r>
      <t>Price Correlation:</t>
    </r>
    <r>
      <rPr>
        <sz val="12"/>
        <color rgb="FF000000"/>
        <rFont val="Aptos Narrow"/>
        <family val="2"/>
        <charset val="238"/>
        <scheme val="minor"/>
      </rPr>
      <t> How tightly coupled are the daily high and low prices, and what does that relationship tell us about intraday predictability?</t>
    </r>
  </si>
  <si>
    <r>
      <t>Volatility vs. Liquidity:</t>
    </r>
    <r>
      <rPr>
        <sz val="12"/>
        <color rgb="FF000000"/>
        <rFont val="Aptos Narrow"/>
        <family val="2"/>
        <charset val="238"/>
        <scheme val="minor"/>
      </rPr>
      <t> Do expansions in the daily price spread directly coincide with surges in trading volume?</t>
    </r>
  </si>
  <si>
    <t>By connecting daily trading volume with price volatility, this analysis provides a structured, data-driven overview of the company's market liquidity and overall trading stability.</t>
  </si>
  <si>
    <t>Section 1: Daily and Monthly Price Directional Trends</t>
  </si>
  <si>
    <t>Overview</t>
  </si>
  <si>
    <t>To understand the asset's macro and micro price behavior, this section evaluates the frequency, scale, and direction of Amazon's price movements on both a daily and monthly baseline. This helps identify whether the stock experienced sustainable growth or high-frequency volatility over the 12-month period.</t>
  </si>
  <si>
    <t>Key Data Insights</t>
  </si>
  <si>
    <r>
      <t>Daily Price Volatility (Column Chart):</t>
    </r>
    <r>
      <rPr>
        <sz val="12"/>
        <color rgb="FF000000"/>
        <rFont val="Aptos Narrow"/>
        <family val="2"/>
        <charset val="238"/>
        <scheme val="minor"/>
      </rPr>
      <t> The daily fluctuations highlight a consistent distribution of gains and losses, with the majority of daily movements staying bounded between −$60 and +$40. However, notable high-volatility exceptions occurred, such as a major positive breakout session exceeding +$140 in July 2021, and severe single-day downward drops approaching −$110 in February and May 2021.</t>
    </r>
  </si>
  <si>
    <r>
      <t>Monthly Aggregates &amp; Macro Trend (Line Chart):</t>
    </r>
    <r>
      <rPr>
        <sz val="12"/>
        <color rgb="FF000000"/>
        <rFont val="Aptos Narrow"/>
        <family val="2"/>
        <charset val="238"/>
        <scheme val="minor"/>
      </rPr>
      <t> While daily movements were highly balanced, the monthly aggregate line reveals significant net price swings. The asset suffered a steep correction in May 2021 (dropping roughly −$300) before aggressively recovering in June 2021 with a net gain of nearly +$200. Despite these heavy cyclical swings, the dashed macro trendline indicates a net positive upward slope across the entire year.</t>
    </r>
  </si>
  <si>
    <t>Analyst Conclusion</t>
  </si>
  <si>
    <t>While day-to-day trading was highly reactive and split nearly 50/50, the macro trend for Amazon remained quietly positive. The sharp monthly spikes and drops suggest that the stock's major price movements are cyclical and likely driven by specific seasonal catalysts (such as quarterly earnings reports or prime event periods) rather than steady daily growth.</t>
  </si>
  <si>
    <r>
      <t>Daily Directional Split (Pie Chart):</t>
    </r>
    <r>
      <rPr>
        <sz val="12"/>
        <color rgb="FF000000"/>
        <rFont val="Aptos Narrow"/>
        <family val="2"/>
        <charset val="238"/>
        <scheme val="minor"/>
      </rPr>
      <t> During this 12-month window, Amazon's daily price movements were almost perfectly symmetrical, resulting in a </t>
    </r>
    <r>
      <rPr>
        <b/>
        <sz val="12"/>
        <color rgb="FF000000"/>
        <rFont val="Aptos Narrow"/>
        <family val="2"/>
        <charset val="238"/>
        <scheme val="minor"/>
      </rPr>
      <t>51% decrease</t>
    </r>
    <r>
      <rPr>
        <sz val="12"/>
        <color rgb="FF000000"/>
        <rFont val="Aptos Narrow"/>
        <family val="2"/>
        <charset val="238"/>
        <scheme val="minor"/>
      </rPr>
      <t> and </t>
    </r>
    <r>
      <rPr>
        <b/>
        <sz val="12"/>
        <color rgb="FF000000"/>
        <rFont val="Aptos Narrow"/>
        <family val="2"/>
        <charset val="238"/>
        <scheme val="minor"/>
      </rPr>
      <t>49% increase</t>
    </r>
    <r>
      <rPr>
        <sz val="12"/>
        <color rgb="FF000000"/>
        <rFont val="Aptos Narrow"/>
        <family val="2"/>
        <charset val="238"/>
        <scheme val="minor"/>
      </rPr>
      <t> across all trading sessions. This tight split indicates a highly balanced, non-trending market environment where buyers and sellers maintained equal pressure on a day-to-day basis.</t>
    </r>
  </si>
  <si>
    <t>Section 2: Trading Volume Distribution and Liquidity Trends</t>
  </si>
  <si>
    <t>Trading volume serves as a core indicator of market liquidity and investor conviction. This section examines how frequently different volume levels occur and how trading activity fluctuates chronologically over the 12-month period. This allows us to distinguish between standard retail baseline activity and institutional-driven market events.</t>
  </si>
  <si>
    <r>
      <t>Volume Frequency and Baseline (Histogram Chart):</t>
    </r>
    <r>
      <rPr>
        <sz val="12"/>
        <color rgb="FF000000"/>
        <rFont val="Aptos Narrow"/>
        <family val="2"/>
        <charset val="238"/>
        <scheme val="minor"/>
      </rPr>
      <t> The distribution of daily trading volume is heavily right-skewed, demonstrating a clear baseline trading range. The vast majority of trading days cluster tightly between </t>
    </r>
    <r>
      <rPr>
        <b/>
        <sz val="12"/>
        <color rgb="FF000000"/>
        <rFont val="Aptos Narrow"/>
        <family val="2"/>
        <charset val="238"/>
        <scheme val="minor"/>
      </rPr>
      <t>2.0 million and 3.5 million units</t>
    </r>
    <r>
      <rPr>
        <sz val="12"/>
        <color rgb="FF000000"/>
        <rFont val="Aptos Narrow"/>
        <family val="2"/>
        <charset val="238"/>
        <scheme val="minor"/>
      </rPr>
      <t>, with the single most frequent trading bracket occurring at 3.0 to 3.5 million units (57 days). Trading sessions exceeding 5.0 million units are rare anomalies, dropping off sharply across the higher bins.</t>
    </r>
  </si>
  <si>
    <r>
      <t>Chronological Volatility and Spikes (Line Chart):</t>
    </r>
    <r>
      <rPr>
        <sz val="12"/>
        <color rgb="FF000000"/>
        <rFont val="Aptos Narrow"/>
        <family val="2"/>
        <charset val="238"/>
        <scheme val="minor"/>
      </rPr>
      <t> The chronological trendline confirms that while baseline daily volume remains steady around 3.0 million units, the asset is susceptible to intense, sudden trading surges. The most significant volume anomaly occurred in </t>
    </r>
    <r>
      <rPr>
        <b/>
        <sz val="12"/>
        <color rgb="FF000000"/>
        <rFont val="Aptos Narrow"/>
        <family val="2"/>
        <charset val="238"/>
        <scheme val="minor"/>
      </rPr>
      <t>late July / early August 2021</t>
    </r>
    <r>
      <rPr>
        <sz val="12"/>
        <color rgb="FF000000"/>
        <rFont val="Aptos Narrow"/>
        <family val="2"/>
        <charset val="238"/>
        <scheme val="minor"/>
      </rPr>
      <t>, where volume spiked sharply to its yearly maximum of </t>
    </r>
    <r>
      <rPr>
        <b/>
        <sz val="12"/>
        <color rgb="FF000000"/>
        <rFont val="Aptos Narrow"/>
        <family val="2"/>
        <charset val="238"/>
        <scheme val="minor"/>
      </rPr>
      <t>10.0 million units</t>
    </r>
    <r>
      <rPr>
        <sz val="12"/>
        <color rgb="FF000000"/>
        <rFont val="Aptos Narrow"/>
        <family val="2"/>
        <charset val="238"/>
        <scheme val="minor"/>
      </rPr>
      <t>. Other notable surges are visible in early February (exceeding 7.0 million) and late April/early May (approaching 8.0 million).</t>
    </r>
  </si>
  <si>
    <t>The data indicates that Amazon possesses highly stable and dependable day-to-day liquidity, supported by a consistent retail trading baseline. However, the sharp, isolated nature of the volume spikes—rather than prolonged periods of elevated activity—strongly suggests these events are catalyst-driven. In a market context, these volume surges perfectly align with corporate reporting cycles, indicating sudden waves of institutional restructuring around major news and quarterly earnings announcements.</t>
  </si>
  <si>
    <t>Section 3: Intraday Price Correlation and Predictability</t>
  </si>
  <si>
    <t>This section analyzes the direct mathematical relationship between Amazon's daily minimum (Low) and maximum (High) trading prices. By modeling these two variables against a linear trendline, we can evaluate the predictability of the stock's trading ranges and determine whether the asset is prone to erratic, uncoupled price gaps during standard trading hours.</t>
  </si>
  <si>
    <r>
      <t>Linear Alignment and Clustering (Scatter Plot):</t>
    </r>
    <r>
      <rPr>
        <sz val="12"/>
        <color rgb="FF000000"/>
        <rFont val="Aptos Narrow"/>
        <family val="2"/>
        <charset val="238"/>
        <scheme val="minor"/>
      </rPr>
      <t> The scatter plot in </t>
    </r>
    <r>
      <rPr>
        <sz val="10"/>
        <color rgb="FF000000"/>
        <rFont val="Arial Unicode MS"/>
        <family val="2"/>
      </rPr>
      <t>image_80fcc4.png</t>
    </r>
    <r>
      <rPr>
        <sz val="12"/>
        <color rgb="FF000000"/>
        <rFont val="Aptos Narrow"/>
        <family val="2"/>
        <charset val="238"/>
        <scheme val="minor"/>
      </rPr>
      <t> demonstrates a highly tight, upward-sloping linear distribution. The data points cluster consistently from the bottom-left corner (≈$3000 Low / $2900 High) to the top-right corner (≈$3750 Low / $3700 High). There is an absence of extreme, distant outliers, meaning the day-to-day variance follows a highly structured path.</t>
    </r>
  </si>
  <si>
    <r>
      <t>Statistical Significance (R2 Value):</t>
    </r>
    <r>
      <rPr>
        <sz val="12"/>
        <color rgb="FF000000"/>
        <rFont val="Aptos Narrow"/>
        <family val="2"/>
        <charset val="238"/>
        <scheme val="minor"/>
      </rPr>
      <t> The chart yields a Coefficient of Determination (R2) of </t>
    </r>
    <r>
      <rPr>
        <b/>
        <sz val="12"/>
        <color rgb="FF000000"/>
        <rFont val="Aptos Narrow"/>
        <family val="2"/>
        <charset val="238"/>
        <scheme val="minor"/>
      </rPr>
      <t>0,9725</t>
    </r>
    <r>
      <rPr>
        <sz val="12"/>
        <color rgb="FF000000"/>
        <rFont val="Aptos Narrow"/>
        <family val="2"/>
        <charset val="238"/>
        <scheme val="minor"/>
      </rPr>
      <t>. Mathematically, this means </t>
    </r>
    <r>
      <rPr>
        <b/>
        <sz val="12"/>
        <color rgb="FF000000"/>
        <rFont val="Aptos Narrow"/>
        <family val="2"/>
        <charset val="238"/>
        <scheme val="minor"/>
      </rPr>
      <t>97.25%</t>
    </r>
    <r>
      <rPr>
        <sz val="12"/>
        <color rgb="FF000000"/>
        <rFont val="Aptos Narrow"/>
        <family val="2"/>
        <charset val="238"/>
        <scheme val="minor"/>
      </rPr>
      <t> of the variance in the daily High price can be perfectly explained by the daily Low price. Deriving the Pearson correlation coefficient (R) gives an exceptionally strong value of </t>
    </r>
    <r>
      <rPr>
        <b/>
        <sz val="12"/>
        <color rgb="FF000000"/>
        <rFont val="Aptos Narrow"/>
        <family val="2"/>
        <charset val="238"/>
        <scheme val="minor"/>
      </rPr>
      <t>0.986</t>
    </r>
    <r>
      <rPr>
        <sz val="12"/>
        <color rgb="FF000000"/>
        <rFont val="Aptos Narrow"/>
        <family val="2"/>
        <charset val="238"/>
        <scheme val="minor"/>
      </rPr>
      <t>, proving a near-perfect positive linear relationship.</t>
    </r>
  </si>
  <si>
    <t>The near-perfect correlation establishes that Amazon's daily trading range is highly predictable. Because the daily ceiling tightly tracks the daily floor, the asset behaves in an orderly fashion. This indicates that intraday price movements are smooth and systematic; the stock rarely experiences chaotic, uncoupled price expansions where the high or low breaks completely away from its established trading baseline. For investors, this signals a high level of structural stability during standard market hours.</t>
  </si>
  <si>
    <t>Section 4: Intraday Price Volatility vs. Trading Volume</t>
  </si>
  <si>
    <t>This section bridges the gap between price behavior and market participation by analyzing whether large differences in the daily trading range (the High-Low spread) coincide with higher or lower market liquidity. By plotting both metrics across a shared timeline, we can observe the direct operational relationship between trading volume and daily price expansion.</t>
  </si>
  <si>
    <r>
      <t>Symmetrical Volatility Spikes (Dual-Axis Timeline):</t>
    </r>
    <r>
      <rPr>
        <sz val="12"/>
        <color rgb="FF000000"/>
        <rFont val="Aptos Narrow"/>
        <family val="2"/>
        <charset val="238"/>
        <scheme val="minor"/>
      </rPr>
      <t> The chronological overlay in </t>
    </r>
    <r>
      <rPr>
        <sz val="10"/>
        <color rgb="FF000000"/>
        <rFont val="Arial Unicode MS"/>
        <family val="2"/>
      </rPr>
      <t>image_815304.png</t>
    </r>
    <r>
      <rPr>
        <sz val="12"/>
        <color rgb="FF000000"/>
        <rFont val="Aptos Narrow"/>
        <family val="2"/>
        <charset val="238"/>
        <scheme val="minor"/>
      </rPr>
      <t> reveals a powerful, direct correlation between the orange line (Price Spread) and the blue line (Trading Volume). The most dramatic example occurs in </t>
    </r>
    <r>
      <rPr>
        <b/>
        <sz val="12"/>
        <color rgb="FF000000"/>
        <rFont val="Aptos Narrow"/>
        <family val="2"/>
        <charset val="238"/>
        <scheme val="minor"/>
      </rPr>
      <t>late July / early August 2021</t>
    </r>
    <r>
      <rPr>
        <sz val="12"/>
        <color rgb="FF000000"/>
        <rFont val="Aptos Narrow"/>
        <family val="2"/>
        <charset val="238"/>
        <scheme val="minor"/>
      </rPr>
      <t>, where a historic expansion in the daily price range (surpassing a </t>
    </r>
    <r>
      <rPr>
        <b/>
        <sz val="12"/>
        <color rgb="FF000000"/>
        <rFont val="Aptos Narrow"/>
        <family val="2"/>
        <charset val="238"/>
        <scheme val="minor"/>
      </rPr>
      <t>$155 spread</t>
    </r>
    <r>
      <rPr>
        <sz val="12"/>
        <color rgb="FF000000"/>
        <rFont val="Aptos Narrow"/>
        <family val="2"/>
        <charset val="238"/>
        <scheme val="minor"/>
      </rPr>
      <t>) perfectly aligns with the yearly trading volume peak of </t>
    </r>
    <r>
      <rPr>
        <b/>
        <sz val="12"/>
        <color rgb="FF000000"/>
        <rFont val="Aptos Narrow"/>
        <family val="2"/>
        <charset val="238"/>
        <scheme val="minor"/>
      </rPr>
      <t>10.0 million units</t>
    </r>
    <r>
      <rPr>
        <sz val="12"/>
        <color rgb="FF000000"/>
        <rFont val="Aptos Narrow"/>
        <family val="2"/>
        <charset val="238"/>
        <scheme val="minor"/>
      </rPr>
      <t>.</t>
    </r>
  </si>
  <si>
    <r>
      <t>Coordinated Consolidation Periods:</t>
    </r>
    <r>
      <rPr>
        <sz val="12"/>
        <color rgb="FF000000"/>
        <rFont val="Aptos Narrow"/>
        <family val="2"/>
        <charset val="238"/>
        <scheme val="minor"/>
      </rPr>
      <t> The inverse relationship is equally synchronized. During market consolidation phases, such as </t>
    </r>
    <r>
      <rPr>
        <b/>
        <sz val="12"/>
        <color rgb="FF000000"/>
        <rFont val="Aptos Narrow"/>
        <family val="2"/>
        <charset val="238"/>
        <scheme val="minor"/>
      </rPr>
      <t>June 2021</t>
    </r>
    <r>
      <rPr>
        <sz val="12"/>
        <color rgb="FF000000"/>
        <rFont val="Aptos Narrow"/>
        <family val="2"/>
        <charset val="238"/>
        <scheme val="minor"/>
      </rPr>
      <t>, trading volume dries up entirely—falling below 2.5 million units. At that exact moment, the price spread contracts to its lowest point of the year (≈$20 to $30), showing a highly stable, quiet trading environment.</t>
    </r>
  </si>
  <si>
    <r>
      <t>The data definitively answers our core question: </t>
    </r>
    <r>
      <rPr>
        <b/>
        <sz val="12"/>
        <color rgb="FF000000"/>
        <rFont val="Aptos Narrow"/>
        <family val="2"/>
        <charset val="238"/>
        <scheme val="minor"/>
      </rPr>
      <t>large daily price spreads explicitly coincide with higher trading volumes.</t>
    </r>
    <r>
      <rPr>
        <sz val="12"/>
        <color rgb="FF000000"/>
        <rFont val="Aptos Narrow"/>
        <family val="2"/>
        <charset val="238"/>
        <scheme val="minor"/>
      </rPr>
      <t> This strong behavioral link indicates that price volatility for this asset is not random; rather, it is actively fueled by heavy institutional trading. When major corporate news or catalyst events break, the influx of high-volume trading expands the intraday range. Conversely, when institutional trading volume recedes, the daily price variance tightly contracts, reinforcing that liquidity directly dictates the boundaries of daily asset volatility.</t>
    </r>
  </si>
  <si>
    <t>Executive Summary &amp; Final Takeaways</t>
  </si>
  <si>
    <r>
      <t>High Stability:</t>
    </r>
    <r>
      <rPr>
        <sz val="12"/>
        <color rgb="FF000000"/>
        <rFont val="Aptos Narrow"/>
        <family val="2"/>
        <charset val="238"/>
        <scheme val="minor"/>
      </rPr>
      <t> Daily movements are exceptionally balanced (</t>
    </r>
    <r>
      <rPr>
        <b/>
        <sz val="12"/>
        <color rgb="FF000000"/>
        <rFont val="Aptos Narrow"/>
        <family val="2"/>
        <charset val="238"/>
        <scheme val="minor"/>
      </rPr>
      <t>51% down / 49% up</t>
    </r>
    <r>
      <rPr>
        <sz val="12"/>
        <color rgb="FF000000"/>
        <rFont val="Aptos Narrow"/>
        <family val="2"/>
        <charset val="238"/>
        <scheme val="minor"/>
      </rPr>
      <t>) and intraday prices are highly predictable (R2=0,9725).</t>
    </r>
  </si>
  <si>
    <r>
      <t>Event-Driven Liquidity:</t>
    </r>
    <r>
      <rPr>
        <sz val="12"/>
        <color rgb="FF000000"/>
        <rFont val="Aptos Narrow"/>
        <family val="2"/>
        <charset val="238"/>
        <scheme val="minor"/>
      </rPr>
      <t> Trading volume heavily clusters around a quiet baseline (</t>
    </r>
    <r>
      <rPr>
        <b/>
        <sz val="12"/>
        <color rgb="FF000000"/>
        <rFont val="Aptos Narrow"/>
        <family val="2"/>
        <charset val="238"/>
        <scheme val="minor"/>
      </rPr>
      <t>2.0M–3.5M units</t>
    </r>
    <r>
      <rPr>
        <sz val="12"/>
        <color rgb="FF000000"/>
        <rFont val="Aptos Narrow"/>
        <family val="2"/>
        <charset val="238"/>
        <scheme val="minor"/>
      </rPr>
      <t>), spiking sharply only during major corporate catalysts.</t>
    </r>
  </si>
  <si>
    <r>
      <t>Volume Drives Volatility:</t>
    </r>
    <r>
      <rPr>
        <sz val="12"/>
        <color rgb="FF000000"/>
        <rFont val="Aptos Narrow"/>
        <family val="2"/>
        <charset val="238"/>
        <scheme val="minor"/>
      </rPr>
      <t> Widening price spreads do not happen randomly; they are directly fueled by surges in institutional trading volume.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</si>
</sst>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charset val="238"/>
      <scheme val="minor"/>
    </font>
    <font>
      <sz val="12"/>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2"/>
      <color rgb="FF006100"/>
      <name val="Aptos Narrow"/>
      <family val="2"/>
      <charset val="238"/>
      <scheme val="minor"/>
    </font>
    <font>
      <sz val="12"/>
      <color rgb="FF9C0006"/>
      <name val="Aptos Narrow"/>
      <family val="2"/>
      <charset val="238"/>
      <scheme val="minor"/>
    </font>
    <font>
      <sz val="12"/>
      <color rgb="FF9C5700"/>
      <name val="Aptos Narrow"/>
      <family val="2"/>
      <charset val="238"/>
      <scheme val="minor"/>
    </font>
    <font>
      <sz val="12"/>
      <color rgb="FF3F3F76"/>
      <name val="Aptos Narrow"/>
      <family val="2"/>
      <charset val="238"/>
      <scheme val="minor"/>
    </font>
    <font>
      <b/>
      <sz val="12"/>
      <color rgb="FF3F3F3F"/>
      <name val="Aptos Narrow"/>
      <family val="2"/>
      <charset val="238"/>
      <scheme val="minor"/>
    </font>
    <font>
      <b/>
      <sz val="12"/>
      <color rgb="FFFA7D00"/>
      <name val="Aptos Narrow"/>
      <family val="2"/>
      <charset val="238"/>
      <scheme val="minor"/>
    </font>
    <font>
      <sz val="12"/>
      <color rgb="FFFA7D00"/>
      <name val="Aptos Narrow"/>
      <family val="2"/>
      <charset val="238"/>
      <scheme val="minor"/>
    </font>
    <font>
      <b/>
      <sz val="12"/>
      <color theme="0"/>
      <name val="Aptos Narrow"/>
      <family val="2"/>
      <charset val="238"/>
      <scheme val="minor"/>
    </font>
    <font>
      <sz val="12"/>
      <color rgb="FFFF0000"/>
      <name val="Aptos Narrow"/>
      <family val="2"/>
      <charset val="238"/>
      <scheme val="minor"/>
    </font>
    <font>
      <i/>
      <sz val="12"/>
      <color rgb="FF7F7F7F"/>
      <name val="Aptos Narrow"/>
      <family val="2"/>
      <charset val="238"/>
      <scheme val="minor"/>
    </font>
    <font>
      <b/>
      <sz val="12"/>
      <color theme="1"/>
      <name val="Aptos Narrow"/>
      <family val="2"/>
      <charset val="238"/>
      <scheme val="minor"/>
    </font>
    <font>
      <sz val="12"/>
      <color theme="0"/>
      <name val="Aptos Narrow"/>
      <family val="2"/>
      <charset val="238"/>
      <scheme val="minor"/>
    </font>
    <font>
      <b/>
      <sz val="12"/>
      <color theme="1"/>
      <name val="Aptos Narrow"/>
      <scheme val="minor"/>
    </font>
    <font>
      <i/>
      <sz val="12"/>
      <color theme="1"/>
      <name val="Aptos Narrow"/>
      <scheme val="minor"/>
    </font>
    <font>
      <b/>
      <sz val="24"/>
      <color rgb="FF000000"/>
      <name val="Aptos Narrow"/>
      <family val="2"/>
      <charset val="238"/>
      <scheme val="minor"/>
    </font>
    <font>
      <b/>
      <sz val="13.5"/>
      <color rgb="FF000000"/>
      <name val="Aptos Narrow"/>
      <family val="2"/>
      <charset val="238"/>
      <scheme val="minor"/>
    </font>
    <font>
      <sz val="12"/>
      <color rgb="FF000000"/>
      <name val="Aptos Narrow"/>
      <family val="2"/>
      <charset val="238"/>
      <scheme val="minor"/>
    </font>
    <font>
      <b/>
      <sz val="12"/>
      <color rgb="FF000000"/>
      <name val="Aptos Narrow"/>
      <family val="2"/>
      <charset val="238"/>
      <scheme val="minor"/>
    </font>
    <font>
      <b/>
      <sz val="18"/>
      <color rgb="FF000000"/>
      <name val="Aptos Narrow"/>
      <family val="2"/>
      <charset val="238"/>
      <scheme val="minor"/>
    </font>
    <font>
      <sz val="10"/>
      <color rgb="FF000000"/>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8" fillId="0" borderId="0" xfId="0" applyFont="1" applyAlignment="1">
      <alignment horizontal="center" vertical="center"/>
    </xf>
    <xf numFmtId="0" fontId="0" fillId="0" borderId="0" xfId="0" applyAlignment="1">
      <alignment horizontal="center" vertical="center"/>
    </xf>
    <xf numFmtId="0" fontId="0" fillId="0" borderId="10" xfId="0" applyBorder="1"/>
    <xf numFmtId="1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pivotButton="1" applyAlignment="1">
      <alignment horizontal="center"/>
    </xf>
    <xf numFmtId="0" fontId="21" fillId="0" borderId="0" xfId="0" applyFont="1"/>
    <xf numFmtId="0" fontId="0" fillId="0" borderId="0" xfId="0" applyAlignment="1">
      <alignment wrapText="1"/>
    </xf>
    <xf numFmtId="0" fontId="24" fillId="0" borderId="0" xfId="0" applyFont="1"/>
    <xf numFmtId="0" fontId="21" fillId="0" borderId="0" xfId="0" applyFont="1" applyAlignment="1">
      <alignment horizontal="left" wrapText="1"/>
    </xf>
    <xf numFmtId="0" fontId="0" fillId="0" borderId="0" xfId="0" applyAlignment="1">
      <alignment horizontal="left" wrapText="1"/>
    </xf>
    <xf numFmtId="0" fontId="21" fillId="0" borderId="0" xfId="0" applyFont="1" applyAlignment="1">
      <alignment horizontal="left"/>
    </xf>
    <xf numFmtId="0" fontId="21" fillId="0" borderId="0" xfId="0" applyFont="1" applyAlignment="1">
      <alignment wrapText="1"/>
    </xf>
    <xf numFmtId="0" fontId="22" fillId="0" borderId="0" xfId="0" applyFont="1" applyAlignment="1">
      <alignment horizontal="left" wrapText="1"/>
    </xf>
    <xf numFmtId="0" fontId="24" fillId="0" borderId="0" xfId="0" applyFont="1" applyAlignment="1">
      <alignment horizontal="left"/>
    </xf>
    <xf numFmtId="0" fontId="23" fillId="0" borderId="0" xfId="0" applyFont="1" applyAlignment="1">
      <alignment horizontal="left" wrapText="1"/>
    </xf>
    <xf numFmtId="0" fontId="24" fillId="0" borderId="0" xfId="0" applyFont="1" applyAlignment="1">
      <alignment horizontal="left" wrapText="1"/>
    </xf>
    <xf numFmtId="0" fontId="21" fillId="0" borderId="0" xfId="0" applyFont="1" applyAlignment="1">
      <alignment horizontal="left" wrapText="1"/>
    </xf>
    <xf numFmtId="0" fontId="22" fillId="0" borderId="0" xfId="0" applyFont="1" applyAlignment="1">
      <alignment wrapText="1"/>
    </xf>
    <xf numFmtId="0" fontId="24"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20" fillId="0" borderId="0" xfId="0" applyFont="1" applyAlignment="1">
      <alignment horizontal="center" wrapText="1"/>
    </xf>
    <xf numFmtId="0" fontId="0" fillId="0" borderId="0" xfId="0"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xf>
    <xf numFmtId="0" fontId="18"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center"/>
    </dxf>
    <dxf>
      <alignment horizontal="center"/>
    </dxf>
    <dxf>
      <numFmt numFmtId="0" formatCode="General"/>
    </dxf>
    <dxf>
      <numFmt numFmtId="0" formatCode="General"/>
    </dxf>
    <dxf>
      <numFmt numFmtId="164" formatCode="d/mm/yyyy"/>
    </dxf>
  </dxfs>
  <tableStyles count="0" defaultTableStyle="TableStyleMedium2" defaultPivotStyle="PivotStyleLight16"/>
  <colors>
    <mruColors>
      <color rgb="FFEE0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defRPr sz="1400" b="1" i="0" u="none" strike="noStrike" kern="1200" spc="0" baseline="0">
                <a:solidFill>
                  <a:schemeClr val="tx1">
                    <a:lumMod val="65000"/>
                    <a:lumOff val="35000"/>
                  </a:schemeClr>
                </a:solidFill>
                <a:latin typeface="+mn-lt"/>
                <a:ea typeface="+mn-ea"/>
                <a:cs typeface="+mn-cs"/>
              </a:defRPr>
            </a:pPr>
            <a:r>
              <a:rPr lang="pl-PL" b="1"/>
              <a:t>Amazon Daily Price Trends</a:t>
            </a:r>
          </a:p>
        </c:rich>
      </c:tx>
      <c:layout>
        <c:manualLayout>
          <c:xMode val="edge"/>
          <c:yMode val="edge"/>
          <c:x val="0.36763586536976994"/>
          <c:y val="7.3830294239535854E-2"/>
        </c:manualLayout>
      </c:layout>
      <c:overlay val="0"/>
      <c:spPr>
        <a:noFill/>
        <a:ln>
          <a:noFill/>
        </a:ln>
        <a:effectLst/>
      </c:spPr>
      <c:txPr>
        <a:bodyPr rot="0" spcFirstLastPara="1" vertOverflow="ellipsis" vert="horz" wrap="square" anchor="ctr" anchorCtr="0"/>
        <a:lstStyle/>
        <a:p>
          <a:pPr>
            <a:defRPr sz="1400" b="1"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doughnutChart>
        <c:varyColors val="1"/>
        <c:ser>
          <c:idx val="0"/>
          <c:order val="0"/>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9447-2D47-A393-30EB0B08BCB9}"/>
              </c:ext>
            </c:extLst>
          </c:dPt>
          <c:dPt>
            <c:idx val="1"/>
            <c:bubble3D val="0"/>
            <c:spPr>
              <a:solidFill>
                <a:srgbClr val="EE0020"/>
              </a:solidFill>
              <a:ln w="19050">
                <a:solidFill>
                  <a:schemeClr val="lt1"/>
                </a:solidFill>
              </a:ln>
              <a:effectLst/>
            </c:spPr>
            <c:extLst>
              <c:ext xmlns:c16="http://schemas.microsoft.com/office/drawing/2014/chart" uri="{C3380CC4-5D6E-409C-BE32-E72D297353CC}">
                <c16:uniqueId val="{00000003-9447-2D47-A393-30EB0B08BCB9}"/>
              </c:ext>
            </c:extLst>
          </c:dPt>
          <c:dLbls>
            <c:dLbl>
              <c:idx val="0"/>
              <c:layout>
                <c:manualLayout>
                  <c:x val="0.11111111111111101"/>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47-2D47-A393-30EB0B08BCB9}"/>
                </c:ext>
              </c:extLst>
            </c:dLbl>
            <c:dLbl>
              <c:idx val="1"/>
              <c:layout>
                <c:manualLayout>
                  <c:x val="-0.11944444444444446"/>
                  <c:y val="-9.25925925925934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47-2D47-A393-30EB0B08BCB9}"/>
                </c:ext>
              </c:extLst>
            </c:dLbl>
            <c:dLbl>
              <c:idx val="2"/>
              <c:numFmt formatCode="#,##0.00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9447-2D47-A393-30EB0B08BCB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Daily_change!$B$4:$B$5</c:f>
              <c:strCache>
                <c:ptCount val="2"/>
                <c:pt idx="0">
                  <c:v>Increase</c:v>
                </c:pt>
                <c:pt idx="1">
                  <c:v>Decrease</c:v>
                </c:pt>
              </c:strCache>
            </c:strRef>
          </c:cat>
          <c:val>
            <c:numRef>
              <c:f>Daily_change!$C$4:$C$5</c:f>
              <c:numCache>
                <c:formatCode>General</c:formatCode>
                <c:ptCount val="2"/>
                <c:pt idx="0">
                  <c:v>122</c:v>
                </c:pt>
                <c:pt idx="1">
                  <c:v>129</c:v>
                </c:pt>
              </c:numCache>
            </c:numRef>
          </c:val>
          <c:extLst>
            <c:ext xmlns:c16="http://schemas.microsoft.com/office/drawing/2014/chart" uri="{C3380CC4-5D6E-409C-BE32-E72D297353CC}">
              <c16:uniqueId val="{00000005-9447-2D47-A393-30EB0B08BCB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Amazon Daily Price Fluctuations </a:t>
            </a:r>
            <a:br>
              <a:rPr lang="en-US"/>
            </a:br>
            <a:r>
              <a:rPr lang="en-US" i="1"/>
              <a:t>(Dec 2020 -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Amazon_stock!$G$1</c:f>
              <c:strCache>
                <c:ptCount val="1"/>
                <c:pt idx="0">
                  <c:v>Daily change</c:v>
                </c:pt>
              </c:strCache>
            </c:strRef>
          </c:tx>
          <c:spPr>
            <a:solidFill>
              <a:srgbClr val="47D45A"/>
            </a:solidFill>
            <a:ln>
              <a:noFill/>
            </a:ln>
            <a:effectLst/>
          </c:spPr>
          <c:invertIfNegative val="1"/>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Amazon_stock!$G$2:$G$253</c:f>
              <c:numCache>
                <c:formatCode>General</c:formatCode>
                <c:ptCount val="252"/>
                <c:pt idx="0">
                  <c:v>31.580077999999958</c:v>
                </c:pt>
                <c:pt idx="1">
                  <c:v>-18.119873000000098</c:v>
                </c:pt>
                <c:pt idx="2">
                  <c:v>-18.729980999999952</c:v>
                </c:pt>
                <c:pt idx="3">
                  <c:v>-35.629883000000063</c:v>
                </c:pt>
                <c:pt idx="4">
                  <c:v>1.5200199999999313</c:v>
                </c:pt>
                <c:pt idx="5">
                  <c:v>18.390136999999868</c:v>
                </c:pt>
                <c:pt idx="6">
                  <c:v>-63.689941999999974</c:v>
                </c:pt>
                <c:pt idx="7">
                  <c:v>12.5</c:v>
                </c:pt>
                <c:pt idx="8">
                  <c:v>19.760009999999966</c:v>
                </c:pt>
                <c:pt idx="9">
                  <c:v>13.969970999999987</c:v>
                </c:pt>
                <c:pt idx="10">
                  <c:v>-15.889893000000029</c:v>
                </c:pt>
                <c:pt idx="11">
                  <c:v>64.949951000000056</c:v>
                </c:pt>
                <c:pt idx="12">
                  <c:v>-13.919922000000042</c:v>
                </c:pt>
                <c:pt idx="13">
                  <c:v>-42.340087999999923</c:v>
                </c:pt>
                <c:pt idx="14">
                  <c:v>6.1699220000000423</c:v>
                </c:pt>
                <c:pt idx="15">
                  <c:v>3.679932000000008</c:v>
                </c:pt>
                <c:pt idx="16">
                  <c:v>-19.729980000000069</c:v>
                </c:pt>
                <c:pt idx="17">
                  <c:v>-21.209961000000021</c:v>
                </c:pt>
                <c:pt idx="18">
                  <c:v>89.959961000000021</c:v>
                </c:pt>
                <c:pt idx="19">
                  <c:v>12.06005899999991</c:v>
                </c:pt>
                <c:pt idx="20">
                  <c:v>-55.149902000000111</c:v>
                </c:pt>
                <c:pt idx="21">
                  <c:v>-18.070067999999992</c:v>
                </c:pt>
                <c:pt idx="22">
                  <c:v>-83.370116999999937</c:v>
                </c:pt>
                <c:pt idx="23">
                  <c:v>52.5</c:v>
                </c:pt>
                <c:pt idx="24">
                  <c:v>-8.1000970000000052</c:v>
                </c:pt>
                <c:pt idx="25">
                  <c:v>5.1599120000000767</c:v>
                </c:pt>
                <c:pt idx="26">
                  <c:v>2.6999510000000555</c:v>
                </c:pt>
                <c:pt idx="27">
                  <c:v>-33.800048999999944</c:v>
                </c:pt>
                <c:pt idx="28">
                  <c:v>0.83007799999995768</c:v>
                </c:pt>
                <c:pt idx="29">
                  <c:v>37.449951999999939</c:v>
                </c:pt>
                <c:pt idx="30">
                  <c:v>-40.050048999999944</c:v>
                </c:pt>
                <c:pt idx="31">
                  <c:v>-18.770019999999931</c:v>
                </c:pt>
                <c:pt idx="32">
                  <c:v>13.760009999999966</c:v>
                </c:pt>
                <c:pt idx="33">
                  <c:v>81.389893000000029</c:v>
                </c:pt>
                <c:pt idx="34">
                  <c:v>13.989990000000034</c:v>
                </c:pt>
                <c:pt idx="35">
                  <c:v>-12.080078999999841</c:v>
                </c:pt>
                <c:pt idx="36">
                  <c:v>-34.5</c:v>
                </c:pt>
                <c:pt idx="37">
                  <c:v>29.769776000000093</c:v>
                </c:pt>
                <c:pt idx="38">
                  <c:v>-108.90991200000008</c:v>
                </c:pt>
                <c:pt idx="39">
                  <c:v>2.5800779999999577</c:v>
                </c:pt>
                <c:pt idx="40">
                  <c:v>-23.800048999999944</c:v>
                </c:pt>
                <c:pt idx="41">
                  <c:v>100.51977600000009</c:v>
                </c:pt>
                <c:pt idx="42">
                  <c:v>0</c:v>
                </c:pt>
                <c:pt idx="43">
                  <c:v>-112.47998099999995</c:v>
                </c:pt>
                <c:pt idx="44">
                  <c:v>1</c:v>
                </c:pt>
                <c:pt idx="45">
                  <c:v>33.149902000000111</c:v>
                </c:pt>
                <c:pt idx="46">
                  <c:v>-35.56005899999991</c:v>
                </c:pt>
                <c:pt idx="47">
                  <c:v>-7.4899900000000343</c:v>
                </c:pt>
                <c:pt idx="48">
                  <c:v>-27.419922000000042</c:v>
                </c:pt>
                <c:pt idx="49">
                  <c:v>-29.870116999999937</c:v>
                </c:pt>
                <c:pt idx="50">
                  <c:v>27.709961000000021</c:v>
                </c:pt>
                <c:pt idx="51">
                  <c:v>14.899902000000111</c:v>
                </c:pt>
                <c:pt idx="52">
                  <c:v>45.03979500000014</c:v>
                </c:pt>
                <c:pt idx="53">
                  <c:v>45.810058000000026</c:v>
                </c:pt>
                <c:pt idx="54">
                  <c:v>-78.330077999999958</c:v>
                </c:pt>
                <c:pt idx="55">
                  <c:v>-27.389893000000029</c:v>
                </c:pt>
                <c:pt idx="56">
                  <c:v>67.469970999999987</c:v>
                </c:pt>
                <c:pt idx="57">
                  <c:v>-7.2199709999999868</c:v>
                </c:pt>
                <c:pt idx="58">
                  <c:v>-79.580077999999958</c:v>
                </c:pt>
                <c:pt idx="59">
                  <c:v>-2.2700190000000475</c:v>
                </c:pt>
                <c:pt idx="60">
                  <c:v>18.25</c:v>
                </c:pt>
                <c:pt idx="61">
                  <c:v>-48.939941999999974</c:v>
                </c:pt>
                <c:pt idx="62">
                  <c:v>-76.179932000000008</c:v>
                </c:pt>
                <c:pt idx="63">
                  <c:v>-34.429932000000008</c:v>
                </c:pt>
                <c:pt idx="64">
                  <c:v>-4.5400389999999788</c:v>
                </c:pt>
                <c:pt idx="65">
                  <c:v>-63.050048999999944</c:v>
                </c:pt>
                <c:pt idx="66">
                  <c:v>44.860107999999855</c:v>
                </c:pt>
                <c:pt idx="67">
                  <c:v>-40.810058000000026</c:v>
                </c:pt>
                <c:pt idx="68">
                  <c:v>9.5800779999999577</c:v>
                </c:pt>
                <c:pt idx="69">
                  <c:v>14.489990000000034</c:v>
                </c:pt>
                <c:pt idx="70">
                  <c:v>7.1098640000000159</c:v>
                </c:pt>
                <c:pt idx="71">
                  <c:v>-13.109864000000016</c:v>
                </c:pt>
                <c:pt idx="72">
                  <c:v>62.510009000000082</c:v>
                </c:pt>
                <c:pt idx="73">
                  <c:v>-73.010009999999966</c:v>
                </c:pt>
                <c:pt idx="74">
                  <c:v>45.729980999999952</c:v>
                </c:pt>
                <c:pt idx="75">
                  <c:v>43.020019000000048</c:v>
                </c:pt>
                <c:pt idx="76">
                  <c:v>10.5</c:v>
                </c:pt>
                <c:pt idx="77">
                  <c:v>-63.969970999999987</c:v>
                </c:pt>
                <c:pt idx="78">
                  <c:v>-26.729980000000069</c:v>
                </c:pt>
                <c:pt idx="79">
                  <c:v>7.969970000000103</c:v>
                </c:pt>
                <c:pt idx="80">
                  <c:v>20.290038999999979</c:v>
                </c:pt>
                <c:pt idx="81">
                  <c:v>-14.719970999999987</c:v>
                </c:pt>
                <c:pt idx="82">
                  <c:v>30.020019000000048</c:v>
                </c:pt>
                <c:pt idx="83">
                  <c:v>43.06005899999991</c:v>
                </c:pt>
                <c:pt idx="84">
                  <c:v>53.729980000000069</c:v>
                </c:pt>
                <c:pt idx="85">
                  <c:v>7.0067999999992026E-2</c:v>
                </c:pt>
                <c:pt idx="86">
                  <c:v>45.589844000000085</c:v>
                </c:pt>
                <c:pt idx="87">
                  <c:v>-11.599853000000167</c:v>
                </c:pt>
                <c:pt idx="88">
                  <c:v>67.5</c:v>
                </c:pt>
                <c:pt idx="89">
                  <c:v>24.179932000000008</c:v>
                </c:pt>
                <c:pt idx="90">
                  <c:v>-0.850097999999889</c:v>
                </c:pt>
                <c:pt idx="91">
                  <c:v>-71.040038999999979</c:v>
                </c:pt>
                <c:pt idx="92">
                  <c:v>8.0900879999999233</c:v>
                </c:pt>
                <c:pt idx="93">
                  <c:v>19.43994100000009</c:v>
                </c:pt>
                <c:pt idx="94">
                  <c:v>-18.320067999999992</c:v>
                </c:pt>
                <c:pt idx="95">
                  <c:v>-38.910156999999799</c:v>
                </c:pt>
                <c:pt idx="96">
                  <c:v>46.020019999999931</c:v>
                </c:pt>
                <c:pt idx="97">
                  <c:v>-62.639893000000029</c:v>
                </c:pt>
                <c:pt idx="98">
                  <c:v>21.779785000000174</c:v>
                </c:pt>
                <c:pt idx="99">
                  <c:v>61</c:v>
                </c:pt>
                <c:pt idx="100">
                  <c:v>-26.040038999999979</c:v>
                </c:pt>
                <c:pt idx="101">
                  <c:v>23.699951000000056</c:v>
                </c:pt>
                <c:pt idx="102">
                  <c:v>-33.790038999999979</c:v>
                </c:pt>
                <c:pt idx="103">
                  <c:v>-57.700194999999894</c:v>
                </c:pt>
                <c:pt idx="104">
                  <c:v>-98.239990000000034</c:v>
                </c:pt>
                <c:pt idx="105">
                  <c:v>-44.319824000000153</c:v>
                </c:pt>
                <c:pt idx="106">
                  <c:v>-68.320067999999992</c:v>
                </c:pt>
                <c:pt idx="107">
                  <c:v>36.370116999999937</c:v>
                </c:pt>
                <c:pt idx="108">
                  <c:v>-27.479980999999952</c:v>
                </c:pt>
                <c:pt idx="109">
                  <c:v>-91.830077999999958</c:v>
                </c:pt>
                <c:pt idx="110">
                  <c:v>87.629883000000063</c:v>
                </c:pt>
                <c:pt idx="111">
                  <c:v>-33.06005899999991</c:v>
                </c:pt>
                <c:pt idx="112">
                  <c:v>-24</c:v>
                </c:pt>
                <c:pt idx="113">
                  <c:v>37.339843000000201</c:v>
                </c:pt>
                <c:pt idx="114">
                  <c:v>24.459961000000021</c:v>
                </c:pt>
                <c:pt idx="115">
                  <c:v>-60.300048999999944</c:v>
                </c:pt>
                <c:pt idx="116">
                  <c:v>36.800048999999944</c:v>
                </c:pt>
                <c:pt idx="117">
                  <c:v>3.280029999999897</c:v>
                </c:pt>
                <c:pt idx="118">
                  <c:v>-46.919922000000042</c:v>
                </c:pt>
                <c:pt idx="119">
                  <c:v>29.489990000000034</c:v>
                </c:pt>
                <c:pt idx="120">
                  <c:v>-7.6198730000000978</c:v>
                </c:pt>
                <c:pt idx="121">
                  <c:v>-9.4301759999998467</c:v>
                </c:pt>
                <c:pt idx="122">
                  <c:v>-25.889893000000029</c:v>
                </c:pt>
                <c:pt idx="123">
                  <c:v>-18.929932000000008</c:v>
                </c:pt>
                <c:pt idx="124">
                  <c:v>-24.850097999999889</c:v>
                </c:pt>
                <c:pt idx="125">
                  <c:v>10.889892000000145</c:v>
                </c:pt>
                <c:pt idx="126">
                  <c:v>-17.219970000000103</c:v>
                </c:pt>
                <c:pt idx="127">
                  <c:v>-5.7800290000000132</c:v>
                </c:pt>
                <c:pt idx="128">
                  <c:v>0.67993200000000797</c:v>
                </c:pt>
                <c:pt idx="129">
                  <c:v>41.5</c:v>
                </c:pt>
                <c:pt idx="130">
                  <c:v>8.2797850000001745</c:v>
                </c:pt>
                <c:pt idx="131">
                  <c:v>67.639892000000145</c:v>
                </c:pt>
                <c:pt idx="132">
                  <c:v>-2.8198240000001533</c:v>
                </c:pt>
                <c:pt idx="133">
                  <c:v>37.040038999999979</c:v>
                </c:pt>
                <c:pt idx="134">
                  <c:v>-0.87011699999993652</c:v>
                </c:pt>
                <c:pt idx="135">
                  <c:v>23.25</c:v>
                </c:pt>
                <c:pt idx="136">
                  <c:v>86.060058000000026</c:v>
                </c:pt>
                <c:pt idx="137">
                  <c:v>6.9099120000000767</c:v>
                </c:pt>
                <c:pt idx="138">
                  <c:v>-22.459961000000021</c:v>
                </c:pt>
                <c:pt idx="139">
                  <c:v>47.37988200000018</c:v>
                </c:pt>
                <c:pt idx="140">
                  <c:v>-1.179932000000008</c:v>
                </c:pt>
                <c:pt idx="141">
                  <c:v>-58.559815000000071</c:v>
                </c:pt>
                <c:pt idx="142">
                  <c:v>-62.540038999999979</c:v>
                </c:pt>
                <c:pt idx="143">
                  <c:v>27.889893000000029</c:v>
                </c:pt>
                <c:pt idx="144">
                  <c:v>9.3198250000000371</c:v>
                </c:pt>
                <c:pt idx="145">
                  <c:v>-0.9001469999998335</c:v>
                </c:pt>
                <c:pt idx="146">
                  <c:v>-1.6401359999999841</c:v>
                </c:pt>
                <c:pt idx="147">
                  <c:v>59.34008700000004</c:v>
                </c:pt>
                <c:pt idx="148">
                  <c:v>145.62988300000006</c:v>
                </c:pt>
                <c:pt idx="149">
                  <c:v>-20.799805000000106</c:v>
                </c:pt>
                <c:pt idx="150">
                  <c:v>87.849853000000167</c:v>
                </c:pt>
                <c:pt idx="151">
                  <c:v>-3.179932000000008</c:v>
                </c:pt>
                <c:pt idx="152">
                  <c:v>-25.449951000000056</c:v>
                </c:pt>
                <c:pt idx="153">
                  <c:v>-24.739990999999918</c:v>
                </c:pt>
                <c:pt idx="154">
                  <c:v>-27.170165999999881</c:v>
                </c:pt>
                <c:pt idx="155">
                  <c:v>-63</c:v>
                </c:pt>
                <c:pt idx="156">
                  <c:v>-59.680175999999847</c:v>
                </c:pt>
                <c:pt idx="157">
                  <c:v>17.010009999999966</c:v>
                </c:pt>
                <c:pt idx="158">
                  <c:v>5.8698730000000978</c:v>
                </c:pt>
                <c:pt idx="159">
                  <c:v>8.820067999999992</c:v>
                </c:pt>
                <c:pt idx="160">
                  <c:v>50.800048999999944</c:v>
                </c:pt>
                <c:pt idx="161">
                  <c:v>16.639893000000029</c:v>
                </c:pt>
                <c:pt idx="162">
                  <c:v>26.65014599999995</c:v>
                </c:pt>
                <c:pt idx="163">
                  <c:v>-72.110106999999971</c:v>
                </c:pt>
                <c:pt idx="164">
                  <c:v>-3.4599610000000212</c:v>
                </c:pt>
                <c:pt idx="165">
                  <c:v>-27.830077999999958</c:v>
                </c:pt>
                <c:pt idx="166">
                  <c:v>-20.359863000000132</c:v>
                </c:pt>
                <c:pt idx="167">
                  <c:v>-21.62011799999982</c:v>
                </c:pt>
                <c:pt idx="168">
                  <c:v>25.520019000000048</c:v>
                </c:pt>
                <c:pt idx="169">
                  <c:v>-24.630126999999902</c:v>
                </c:pt>
                <c:pt idx="170">
                  <c:v>19.770019000000048</c:v>
                </c:pt>
                <c:pt idx="171">
                  <c:v>-30.06005899999991</c:v>
                </c:pt>
                <c:pt idx="172">
                  <c:v>-1.7399900000000343</c:v>
                </c:pt>
                <c:pt idx="173">
                  <c:v>-24.330077999999958</c:v>
                </c:pt>
                <c:pt idx="174">
                  <c:v>-39.339844000000085</c:v>
                </c:pt>
                <c:pt idx="175">
                  <c:v>13.5</c:v>
                </c:pt>
                <c:pt idx="176">
                  <c:v>-11.699951000000056</c:v>
                </c:pt>
                <c:pt idx="177">
                  <c:v>15.989990000000034</c:v>
                </c:pt>
                <c:pt idx="178">
                  <c:v>-35.540038999999979</c:v>
                </c:pt>
                <c:pt idx="179">
                  <c:v>-40.770019000000048</c:v>
                </c:pt>
                <c:pt idx="180">
                  <c:v>-6.2700199999999313</c:v>
                </c:pt>
                <c:pt idx="181">
                  <c:v>-3.920165999999881</c:v>
                </c:pt>
                <c:pt idx="182">
                  <c:v>53.970214999999826</c:v>
                </c:pt>
                <c:pt idx="183">
                  <c:v>25.780029000000013</c:v>
                </c:pt>
                <c:pt idx="184">
                  <c:v>-10.690184999999929</c:v>
                </c:pt>
                <c:pt idx="185">
                  <c:v>17</c:v>
                </c:pt>
                <c:pt idx="186">
                  <c:v>16.399902999999995</c:v>
                </c:pt>
                <c:pt idx="187">
                  <c:v>64.140135999999984</c:v>
                </c:pt>
                <c:pt idx="188">
                  <c:v>45.989990000000034</c:v>
                </c:pt>
                <c:pt idx="189">
                  <c:v>-17.399902000000111</c:v>
                </c:pt>
                <c:pt idx="190">
                  <c:v>-31.639893000000029</c:v>
                </c:pt>
                <c:pt idx="191">
                  <c:v>26.050048999999944</c:v>
                </c:pt>
                <c:pt idx="192">
                  <c:v>31.290038999999979</c:v>
                </c:pt>
                <c:pt idx="193">
                  <c:v>13.850097999999889</c:v>
                </c:pt>
                <c:pt idx="194">
                  <c:v>-41.860107999999855</c:v>
                </c:pt>
                <c:pt idx="195">
                  <c:v>-32.680175999999847</c:v>
                </c:pt>
                <c:pt idx="196">
                  <c:v>-25.630126999999902</c:v>
                </c:pt>
                <c:pt idx="197">
                  <c:v>-25.550048999999944</c:v>
                </c:pt>
                <c:pt idx="198">
                  <c:v>33.270019000000048</c:v>
                </c:pt>
                <c:pt idx="199">
                  <c:v>28.280029000000013</c:v>
                </c:pt>
                <c:pt idx="200">
                  <c:v>-25.889892000000145</c:v>
                </c:pt>
                <c:pt idx="201">
                  <c:v>-40.270019999999931</c:v>
                </c:pt>
                <c:pt idx="202">
                  <c:v>-31.370116999999937</c:v>
                </c:pt>
                <c:pt idx="203">
                  <c:v>29.050048999999944</c:v>
                </c:pt>
                <c:pt idx="204">
                  <c:v>35.949951000000056</c:v>
                </c:pt>
                <c:pt idx="205">
                  <c:v>23.510009999999966</c:v>
                </c:pt>
                <c:pt idx="206">
                  <c:v>34.300048999999944</c:v>
                </c:pt>
                <c:pt idx="207">
                  <c:v>-41.75</c:v>
                </c:pt>
                <c:pt idx="208">
                  <c:v>-20.989990000000034</c:v>
                </c:pt>
                <c:pt idx="209">
                  <c:v>-30.959961000000021</c:v>
                </c:pt>
                <c:pt idx="210">
                  <c:v>-5.75</c:v>
                </c:pt>
                <c:pt idx="211">
                  <c:v>-89.609864000000016</c:v>
                </c:pt>
                <c:pt idx="212">
                  <c:v>16.5</c:v>
                </c:pt>
                <c:pt idx="213">
                  <c:v>48.479980999999952</c:v>
                </c:pt>
                <c:pt idx="214">
                  <c:v>10.889893000000029</c:v>
                </c:pt>
                <c:pt idx="215">
                  <c:v>-28.379883000000063</c:v>
                </c:pt>
                <c:pt idx="216">
                  <c:v>-28.699951000000056</c:v>
                </c:pt>
                <c:pt idx="217">
                  <c:v>-9.6699220000000423</c:v>
                </c:pt>
                <c:pt idx="218">
                  <c:v>14.570067999999992</c:v>
                </c:pt>
                <c:pt idx="219">
                  <c:v>-2.5898440000000846</c:v>
                </c:pt>
                <c:pt idx="220">
                  <c:v>97.600097999999889</c:v>
                </c:pt>
                <c:pt idx="221">
                  <c:v>58.379883000000063</c:v>
                </c:pt>
                <c:pt idx="222">
                  <c:v>9.8598630000001322</c:v>
                </c:pt>
                <c:pt idx="223">
                  <c:v>-37.599853000000167</c:v>
                </c:pt>
                <c:pt idx="224">
                  <c:v>20.760009999999966</c:v>
                </c:pt>
                <c:pt idx="225">
                  <c:v>-85.449951000000056</c:v>
                </c:pt>
                <c:pt idx="226">
                  <c:v>-14.629883000000063</c:v>
                </c:pt>
                <c:pt idx="227">
                  <c:v>26.560058000000026</c:v>
                </c:pt>
                <c:pt idx="228">
                  <c:v>4.4899900000000343</c:v>
                </c:pt>
                <c:pt idx="229">
                  <c:v>44.469970000000103</c:v>
                </c:pt>
                <c:pt idx="230">
                  <c:v>72.409912000000077</c:v>
                </c:pt>
                <c:pt idx="231">
                  <c:v>-43.689941999999974</c:v>
                </c:pt>
                <c:pt idx="232">
                  <c:v>-2.2600099999999657</c:v>
                </c:pt>
                <c:pt idx="233">
                  <c:v>75</c:v>
                </c:pt>
                <c:pt idx="234">
                  <c:v>107</c:v>
                </c:pt>
                <c:pt idx="235">
                  <c:v>41.989990000000034</c:v>
                </c:pt>
                <c:pt idx="236">
                  <c:v>-34.260009999999966</c:v>
                </c:pt>
                <c:pt idx="237">
                  <c:v>60.979980000000069</c:v>
                </c:pt>
                <c:pt idx="238">
                  <c:v>-81.820067999999992</c:v>
                </c:pt>
                <c:pt idx="239">
                  <c:v>-40.5</c:v>
                </c:pt>
                <c:pt idx="240">
                  <c:v>40.149902000000111</c:v>
                </c:pt>
                <c:pt idx="241">
                  <c:v>8.679932000000008</c:v>
                </c:pt>
                <c:pt idx="242">
                  <c:v>1.6999510000000555</c:v>
                </c:pt>
                <c:pt idx="243">
                  <c:v>-15.719970999999987</c:v>
                </c:pt>
                <c:pt idx="244">
                  <c:v>129.70996100000002</c:v>
                </c:pt>
                <c:pt idx="245">
                  <c:v>-36.119873000000098</c:v>
                </c:pt>
                <c:pt idx="246">
                  <c:v>-103.80981500000007</c:v>
                </c:pt>
                <c:pt idx="247">
                  <c:v>-5</c:v>
                </c:pt>
                <c:pt idx="248">
                  <c:v>17.739990000000034</c:v>
                </c:pt>
                <c:pt idx="249">
                  <c:v>-97.540038999999979</c:v>
                </c:pt>
                <c:pt idx="250">
                  <c:v>13.930174999999963</c:v>
                </c:pt>
                <c:pt idx="251">
                  <c:v>-56.429932000000008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88A-154B-B4FC-D33C7CA09940}"/>
            </c:ext>
          </c:extLst>
        </c:ser>
        <c:dLbls>
          <c:showLegendKey val="0"/>
          <c:showVal val="0"/>
          <c:showCatName val="0"/>
          <c:showSerName val="0"/>
          <c:showPercent val="0"/>
          <c:showBubbleSize val="0"/>
        </c:dLbls>
        <c:gapWidth val="150"/>
        <c:axId val="1409092672"/>
        <c:axId val="1409096704"/>
      </c:barChart>
      <c:dateAx>
        <c:axId val="1409092672"/>
        <c:scaling>
          <c:orientation val="minMax"/>
        </c:scaling>
        <c:delete val="0"/>
        <c:axPos val="b"/>
        <c:numFmt formatCode="mm\/yyyy"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096704"/>
        <c:crosses val="autoZero"/>
        <c:auto val="1"/>
        <c:lblOffset val="100"/>
        <c:baseTimeUnit val="days"/>
        <c:majorUnit val="31"/>
        <c:majorTimeUnit val="days"/>
        <c:minorUnit val="1"/>
      </c:dateAx>
      <c:valAx>
        <c:axId val="1409096704"/>
        <c:scaling>
          <c:orientation val="minMax"/>
          <c:max val="150"/>
          <c:min val="-110"/>
        </c:scaling>
        <c:delete val="0"/>
        <c:axPos val="l"/>
        <c:majorGridlines>
          <c:spPr>
            <a:ln w="9525" cap="flat" cmpd="sng" algn="ctr">
              <a:solidFill>
                <a:schemeClr val="tx1">
                  <a:lumMod val="15000"/>
                  <a:lumOff val="85000"/>
                </a:schemeClr>
              </a:solidFill>
              <a:round/>
            </a:ln>
            <a:effectLst/>
          </c:spPr>
        </c:majorGridlines>
        <c:numFmt formatCode="[$$-1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09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[Amazon_stock-kopia.xlsx]Daily_change!PivotTable1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Summary of Monthly Price Fluctuations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Daily_change!$J$3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bg2">
                    <a:lumMod val="75000"/>
                  </a:schemeClr>
                </a:solidFill>
                <a:prstDash val="sysDot"/>
              </a:ln>
              <a:effectLst/>
            </c:spPr>
            <c:trendlineType val="linear"/>
            <c:dispRSqr val="0"/>
            <c:dispEq val="0"/>
          </c:trendline>
          <c:cat>
            <c:multiLvlStrRef>
              <c:f>Daily_change!$I$4:$I$18</c:f>
              <c:multiLvlStrCache>
                <c:ptCount val="12"/>
                <c:lvl>
                  <c:pt idx="0">
                    <c:v>Dec</c:v>
                  </c:pt>
                  <c:pt idx="1">
                    <c:v>Jan</c:v>
                  </c:pt>
                  <c:pt idx="2">
                    <c:v>Feb</c:v>
                  </c:pt>
                  <c:pt idx="3">
                    <c:v>Mar</c:v>
                  </c:pt>
                  <c:pt idx="4">
                    <c:v>Apr</c:v>
                  </c:pt>
                  <c:pt idx="5">
                    <c:v>May</c:v>
                  </c:pt>
                  <c:pt idx="6">
                    <c:v>Jun</c:v>
                  </c:pt>
                  <c:pt idx="7">
                    <c:v>Jul</c:v>
                  </c:pt>
                  <c:pt idx="8">
                    <c:v>Aug</c:v>
                  </c:pt>
                  <c:pt idx="9">
                    <c:v>Sep</c:v>
                  </c:pt>
                  <c:pt idx="10">
                    <c:v>Oct</c:v>
                  </c:pt>
                  <c:pt idx="11">
                    <c:v>Nov</c:v>
                  </c:pt>
                </c:lvl>
                <c:lvl>
                  <c:pt idx="0">
                    <c:v>2020</c:v>
                  </c:pt>
                  <c:pt idx="1">
                    <c:v>2021</c:v>
                  </c:pt>
                </c:lvl>
              </c:multiLvlStrCache>
            </c:multiLvlStrRef>
          </c:cat>
          <c:val>
            <c:numRef>
              <c:f>Daily_change!$J$4:$J$18</c:f>
              <c:numCache>
                <c:formatCode>General</c:formatCode>
                <c:ptCount val="12"/>
                <c:pt idx="0">
                  <c:v>-47.939452000000529</c:v>
                </c:pt>
                <c:pt idx="1">
                  <c:v>-123.25073199999952</c:v>
                </c:pt>
                <c:pt idx="2">
                  <c:v>-72.010742999999366</c:v>
                </c:pt>
                <c:pt idx="3">
                  <c:v>-145.15967099999989</c:v>
                </c:pt>
                <c:pt idx="4">
                  <c:v>93.269287000000531</c:v>
                </c:pt>
                <c:pt idx="5">
                  <c:v>-300.96997199999987</c:v>
                </c:pt>
                <c:pt idx="6">
                  <c:v>169.65917800000079</c:v>
                </c:pt>
                <c:pt idx="7">
                  <c:v>69.189696000000367</c:v>
                </c:pt>
                <c:pt idx="8">
                  <c:v>47.449705000000449</c:v>
                </c:pt>
                <c:pt idx="9">
                  <c:v>-110.43994199999997</c:v>
                </c:pt>
                <c:pt idx="10">
                  <c:v>122.59057499999972</c:v>
                </c:pt>
                <c:pt idx="11">
                  <c:v>-20.269778999999744</c:v>
                </c:pt>
              </c:numCache>
            </c:numRef>
          </c:val>
          <c:smooth val="1"/>
          <c:extLst>
            <c:ext xmlns:c16="http://schemas.microsoft.com/office/drawing/2014/chart" uri="{C3380CC4-5D6E-409C-BE32-E72D297353CC}">
              <c16:uniqueId val="{00000001-411C-104B-B848-3ABE19BD9790}"/>
            </c:ext>
          </c:extLst>
        </c:ser>
        <c:dLbls>
          <c:showLegendKey val="0"/>
          <c:showVal val="0"/>
          <c:showCatName val="0"/>
          <c:showSerName val="0"/>
          <c:showPercent val="0"/>
          <c:showBubbleSize val="0"/>
        </c:dLbls>
        <c:marker val="1"/>
        <c:smooth val="0"/>
        <c:axId val="362997375"/>
        <c:axId val="362999615"/>
      </c:lineChart>
      <c:catAx>
        <c:axId val="362997375"/>
        <c:scaling>
          <c:orientation val="minMax"/>
        </c:scaling>
        <c:delete val="0"/>
        <c:axPos val="b"/>
        <c:numFmt formatCode="General" sourceLinked="0"/>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62999615"/>
        <c:crosses val="autoZero"/>
        <c:auto val="1"/>
        <c:lblAlgn val="ctr"/>
        <c:lblOffset val="100"/>
        <c:noMultiLvlLbl val="0"/>
      </c:catAx>
      <c:valAx>
        <c:axId val="362999615"/>
        <c:scaling>
          <c:orientation val="minMax"/>
          <c:max val="300"/>
          <c:min val="-400"/>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62997375"/>
        <c:crosses val="autoZero"/>
        <c:crossBetween val="between"/>
        <c:majorUnit val="100"/>
        <c:min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Daily Trading Volume</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3">
                  <a:lumMod val="75000"/>
                </a:schemeClr>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Amazon_stock!$H$2:$H$253</c:f>
              <c:numCache>
                <c:formatCode>General</c:formatCode>
                <c:ptCount val="252"/>
                <c:pt idx="0">
                  <c:v>4.5369999999999999</c:v>
                </c:pt>
                <c:pt idx="1">
                  <c:v>3.1293000000000002</c:v>
                </c:pt>
                <c:pt idx="2">
                  <c:v>2.8919999999999999</c:v>
                </c:pt>
                <c:pt idx="3">
                  <c:v>2.9136000000000002</c:v>
                </c:pt>
                <c:pt idx="4">
                  <c:v>2.7513000000000001</c:v>
                </c:pt>
                <c:pt idx="5">
                  <c:v>3.2863000000000002</c:v>
                </c:pt>
                <c:pt idx="6">
                  <c:v>4.1007999999999996</c:v>
                </c:pt>
                <c:pt idx="7">
                  <c:v>3.0301999999999998</c:v>
                </c:pt>
                <c:pt idx="8">
                  <c:v>3.0647000000000002</c:v>
                </c:pt>
                <c:pt idx="9">
                  <c:v>4.1558000000000002</c:v>
                </c:pt>
                <c:pt idx="10">
                  <c:v>3.3195000000000001</c:v>
                </c:pt>
                <c:pt idx="11">
                  <c:v>4.4276</c:v>
                </c:pt>
                <c:pt idx="12">
                  <c:v>3.4742999999999999</c:v>
                </c:pt>
                <c:pt idx="13">
                  <c:v>5.9957000000000003</c:v>
                </c:pt>
                <c:pt idx="14">
                  <c:v>3.8368000000000002</c:v>
                </c:pt>
                <c:pt idx="15">
                  <c:v>2.3694000000000002</c:v>
                </c:pt>
                <c:pt idx="16">
                  <c:v>2.0937999999999999</c:v>
                </c:pt>
                <c:pt idx="17">
                  <c:v>1.4519</c:v>
                </c:pt>
                <c:pt idx="18">
                  <c:v>5.6867999999999999</c:v>
                </c:pt>
                <c:pt idx="19">
                  <c:v>4.8728999999999996</c:v>
                </c:pt>
                <c:pt idx="20">
                  <c:v>3.2092999999999998</c:v>
                </c:pt>
                <c:pt idx="21">
                  <c:v>2.9571999999999998</c:v>
                </c:pt>
                <c:pt idx="22">
                  <c:v>4.4114000000000004</c:v>
                </c:pt>
                <c:pt idx="23">
                  <c:v>2.6555</c:v>
                </c:pt>
                <c:pt idx="24">
                  <c:v>4.3948</c:v>
                </c:pt>
                <c:pt idx="25">
                  <c:v>3.5145</c:v>
                </c:pt>
                <c:pt idx="26">
                  <c:v>3.5377000000000001</c:v>
                </c:pt>
                <c:pt idx="27">
                  <c:v>3.6833999999999998</c:v>
                </c:pt>
                <c:pt idx="28">
                  <c:v>3.5146000000000002</c:v>
                </c:pt>
                <c:pt idx="29">
                  <c:v>3.3212000000000002</c:v>
                </c:pt>
                <c:pt idx="30">
                  <c:v>3.0709</c:v>
                </c:pt>
                <c:pt idx="31">
                  <c:v>4.2439999999999998</c:v>
                </c:pt>
                <c:pt idx="32">
                  <c:v>3.3050999999999999</c:v>
                </c:pt>
                <c:pt idx="33">
                  <c:v>5.3098000000000001</c:v>
                </c:pt>
                <c:pt idx="34">
                  <c:v>4.9360999999999997</c:v>
                </c:pt>
                <c:pt idx="35">
                  <c:v>2.8218999999999999</c:v>
                </c:pt>
                <c:pt idx="36">
                  <c:v>3.7498</c:v>
                </c:pt>
                <c:pt idx="37">
                  <c:v>2.9552</c:v>
                </c:pt>
                <c:pt idx="38">
                  <c:v>4.6601999999999997</c:v>
                </c:pt>
                <c:pt idx="39">
                  <c:v>3.1492</c:v>
                </c:pt>
                <c:pt idx="40">
                  <c:v>4.2935999999999996</c:v>
                </c:pt>
                <c:pt idx="41">
                  <c:v>4.1601999999999997</c:v>
                </c:pt>
                <c:pt idx="42">
                  <c:v>7.0986000000000002</c:v>
                </c:pt>
                <c:pt idx="43">
                  <c:v>7.0888</c:v>
                </c:pt>
                <c:pt idx="44">
                  <c:v>3.6707000000000001</c:v>
                </c:pt>
                <c:pt idx="45">
                  <c:v>3.6208</c:v>
                </c:pt>
                <c:pt idx="46">
                  <c:v>3.2574000000000001</c:v>
                </c:pt>
                <c:pt idx="47">
                  <c:v>2.2035</c:v>
                </c:pt>
                <c:pt idx="48">
                  <c:v>3.1516000000000002</c:v>
                </c:pt>
                <c:pt idx="49">
                  <c:v>2.3014000000000001</c:v>
                </c:pt>
                <c:pt idx="50">
                  <c:v>2.3353000000000002</c:v>
                </c:pt>
                <c:pt idx="51">
                  <c:v>2.5747</c:v>
                </c:pt>
                <c:pt idx="52">
                  <c:v>3.2974999999999999</c:v>
                </c:pt>
                <c:pt idx="53">
                  <c:v>3.0274000000000001</c:v>
                </c:pt>
                <c:pt idx="54">
                  <c:v>4.3052000000000001</c:v>
                </c:pt>
                <c:pt idx="55">
                  <c:v>3.5156999999999998</c:v>
                </c:pt>
                <c:pt idx="56">
                  <c:v>4.6772</c:v>
                </c:pt>
                <c:pt idx="57">
                  <c:v>3.0112999999999999</c:v>
                </c:pt>
                <c:pt idx="58">
                  <c:v>4.5338000000000003</c:v>
                </c:pt>
                <c:pt idx="59">
                  <c:v>4.2759</c:v>
                </c:pt>
                <c:pt idx="60">
                  <c:v>2.7290999999999999</c:v>
                </c:pt>
                <c:pt idx="61">
                  <c:v>2.5958000000000001</c:v>
                </c:pt>
                <c:pt idx="62">
                  <c:v>3.9887000000000001</c:v>
                </c:pt>
                <c:pt idx="63">
                  <c:v>5.4816000000000003</c:v>
                </c:pt>
                <c:pt idx="64">
                  <c:v>5.3886000000000003</c:v>
                </c:pt>
                <c:pt idx="65">
                  <c:v>4.1849999999999996</c:v>
                </c:pt>
                <c:pt idx="66">
                  <c:v>4.03</c:v>
                </c:pt>
                <c:pt idx="67">
                  <c:v>3.0125000000000002</c:v>
                </c:pt>
                <c:pt idx="68">
                  <c:v>2.7764000000000002</c:v>
                </c:pt>
                <c:pt idx="69">
                  <c:v>2.4218999999999999</c:v>
                </c:pt>
                <c:pt idx="70">
                  <c:v>2.9136000000000002</c:v>
                </c:pt>
                <c:pt idx="71">
                  <c:v>2.5388000000000002</c:v>
                </c:pt>
                <c:pt idx="72">
                  <c:v>3.1185999999999998</c:v>
                </c:pt>
                <c:pt idx="73">
                  <c:v>3.6496</c:v>
                </c:pt>
                <c:pt idx="74">
                  <c:v>4.6254</c:v>
                </c:pt>
                <c:pt idx="75">
                  <c:v>2.9022000000000001</c:v>
                </c:pt>
                <c:pt idx="76">
                  <c:v>3.8172999999999999</c:v>
                </c:pt>
                <c:pt idx="77">
                  <c:v>2.9590000000000001</c:v>
                </c:pt>
                <c:pt idx="78">
                  <c:v>3.5634999999999999</c:v>
                </c:pt>
                <c:pt idx="79">
                  <c:v>3.3129</c:v>
                </c:pt>
                <c:pt idx="80">
                  <c:v>2.746</c:v>
                </c:pt>
                <c:pt idx="81">
                  <c:v>2.3376000000000001</c:v>
                </c:pt>
                <c:pt idx="82">
                  <c:v>3.0939000000000001</c:v>
                </c:pt>
                <c:pt idx="83">
                  <c:v>2.9403000000000001</c:v>
                </c:pt>
                <c:pt idx="84">
                  <c:v>3.3349000000000002</c:v>
                </c:pt>
                <c:pt idx="85">
                  <c:v>2.5377999999999998</c:v>
                </c:pt>
                <c:pt idx="86">
                  <c:v>3.3462000000000001</c:v>
                </c:pt>
                <c:pt idx="87">
                  <c:v>2.8121</c:v>
                </c:pt>
                <c:pt idx="88">
                  <c:v>4.3414999999999999</c:v>
                </c:pt>
                <c:pt idx="89">
                  <c:v>3.2818000000000001</c:v>
                </c:pt>
                <c:pt idx="90">
                  <c:v>3.3157999999999999</c:v>
                </c:pt>
                <c:pt idx="91">
                  <c:v>3.1452</c:v>
                </c:pt>
                <c:pt idx="92">
                  <c:v>3.2336</c:v>
                </c:pt>
                <c:pt idx="93">
                  <c:v>3.1859999999999999</c:v>
                </c:pt>
                <c:pt idx="94">
                  <c:v>2.7254</c:v>
                </c:pt>
                <c:pt idx="95">
                  <c:v>2.6230000000000002</c:v>
                </c:pt>
                <c:pt idx="96">
                  <c:v>2.2111999999999998</c:v>
                </c:pt>
                <c:pt idx="97">
                  <c:v>2.5806</c:v>
                </c:pt>
                <c:pt idx="98">
                  <c:v>3.1928000000000001</c:v>
                </c:pt>
                <c:pt idx="99">
                  <c:v>4.8807</c:v>
                </c:pt>
                <c:pt idx="100">
                  <c:v>3.8271000000000002</c:v>
                </c:pt>
                <c:pt idx="101">
                  <c:v>4.6318999999999999</c:v>
                </c:pt>
                <c:pt idx="102">
                  <c:v>7.6824000000000003</c:v>
                </c:pt>
                <c:pt idx="103">
                  <c:v>7.0092999999999996</c:v>
                </c:pt>
                <c:pt idx="104">
                  <c:v>5.8754999999999997</c:v>
                </c:pt>
                <c:pt idx="105">
                  <c:v>5.4394</c:v>
                </c:pt>
                <c:pt idx="106">
                  <c:v>3.7113</c:v>
                </c:pt>
                <c:pt idx="107">
                  <c:v>4.4477000000000002</c:v>
                </c:pt>
                <c:pt idx="108">
                  <c:v>4.7103000000000002</c:v>
                </c:pt>
                <c:pt idx="109">
                  <c:v>5.8385999999999996</c:v>
                </c:pt>
                <c:pt idx="110">
                  <c:v>4.6197999999999997</c:v>
                </c:pt>
                <c:pt idx="111">
                  <c:v>4.9363999999999999</c:v>
                </c:pt>
                <c:pt idx="112">
                  <c:v>3.3509000000000002</c:v>
                </c:pt>
                <c:pt idx="113">
                  <c:v>3.3250000000000002</c:v>
                </c:pt>
                <c:pt idx="114">
                  <c:v>3.7239</c:v>
                </c:pt>
                <c:pt idx="115">
                  <c:v>2.8283999999999998</c:v>
                </c:pt>
                <c:pt idx="116">
                  <c:v>2.6797</c:v>
                </c:pt>
                <c:pt idx="117">
                  <c:v>2.6332</c:v>
                </c:pt>
                <c:pt idx="118">
                  <c:v>4.1048999999999998</c:v>
                </c:pt>
                <c:pt idx="119">
                  <c:v>2.4228000000000001</c:v>
                </c:pt>
                <c:pt idx="120">
                  <c:v>3.2610999999999999</c:v>
                </c:pt>
                <c:pt idx="121">
                  <c:v>2.3839999999999999</c:v>
                </c:pt>
                <c:pt idx="122">
                  <c:v>2.5611999999999999</c:v>
                </c:pt>
                <c:pt idx="123">
                  <c:v>2.3298000000000001</c:v>
                </c:pt>
                <c:pt idx="124">
                  <c:v>2.4300000000000002</c:v>
                </c:pt>
                <c:pt idx="125">
                  <c:v>2.0145</c:v>
                </c:pt>
                <c:pt idx="126">
                  <c:v>2.3982999999999999</c:v>
                </c:pt>
                <c:pt idx="127">
                  <c:v>2.2496999999999998</c:v>
                </c:pt>
                <c:pt idx="128">
                  <c:v>2.2158000000000002</c:v>
                </c:pt>
                <c:pt idx="129">
                  <c:v>3.4167000000000001</c:v>
                </c:pt>
                <c:pt idx="130">
                  <c:v>2.4554999999999998</c:v>
                </c:pt>
                <c:pt idx="131">
                  <c:v>3.4765000000000001</c:v>
                </c:pt>
                <c:pt idx="132">
                  <c:v>2.8174000000000001</c:v>
                </c:pt>
                <c:pt idx="133">
                  <c:v>2.5697000000000001</c:v>
                </c:pt>
                <c:pt idx="134">
                  <c:v>2.4262000000000001</c:v>
                </c:pt>
                <c:pt idx="135">
                  <c:v>4.2027999999999999</c:v>
                </c:pt>
                <c:pt idx="136">
                  <c:v>5.1364999999999998</c:v>
                </c:pt>
                <c:pt idx="137">
                  <c:v>5.2477</c:v>
                </c:pt>
                <c:pt idx="138">
                  <c:v>3.2770999999999999</c:v>
                </c:pt>
                <c:pt idx="139">
                  <c:v>3.3451</c:v>
                </c:pt>
                <c:pt idx="140">
                  <c:v>2.8132999999999999</c:v>
                </c:pt>
                <c:pt idx="141">
                  <c:v>3.8319999999999999</c:v>
                </c:pt>
                <c:pt idx="142">
                  <c:v>3.9409999999999998</c:v>
                </c:pt>
                <c:pt idx="143">
                  <c:v>2.2427999999999999</c:v>
                </c:pt>
                <c:pt idx="144">
                  <c:v>2.0983999999999998</c:v>
                </c:pt>
                <c:pt idx="145">
                  <c:v>2.4039999999999999</c:v>
                </c:pt>
                <c:pt idx="146">
                  <c:v>2.0371000000000001</c:v>
                </c:pt>
                <c:pt idx="147">
                  <c:v>3.1694</c:v>
                </c:pt>
                <c:pt idx="148">
                  <c:v>6.7447999999999997</c:v>
                </c:pt>
                <c:pt idx="149">
                  <c:v>5.3281000000000001</c:v>
                </c:pt>
                <c:pt idx="150">
                  <c:v>5.1806000000000001</c:v>
                </c:pt>
                <c:pt idx="151">
                  <c:v>3.7482000000000002</c:v>
                </c:pt>
                <c:pt idx="152">
                  <c:v>2.5716000000000001</c:v>
                </c:pt>
                <c:pt idx="153">
                  <c:v>3.8458999999999999</c:v>
                </c:pt>
                <c:pt idx="154">
                  <c:v>3.2966000000000002</c:v>
                </c:pt>
                <c:pt idx="155">
                  <c:v>3.1852999999999998</c:v>
                </c:pt>
                <c:pt idx="156">
                  <c:v>4.0437000000000003</c:v>
                </c:pt>
                <c:pt idx="157">
                  <c:v>3.7846000000000002</c:v>
                </c:pt>
                <c:pt idx="158">
                  <c:v>3.2557</c:v>
                </c:pt>
                <c:pt idx="159">
                  <c:v>2.319</c:v>
                </c:pt>
                <c:pt idx="160">
                  <c:v>3.2654000000000001</c:v>
                </c:pt>
                <c:pt idx="161">
                  <c:v>2.4363000000000001</c:v>
                </c:pt>
                <c:pt idx="162">
                  <c:v>2.9001000000000001</c:v>
                </c:pt>
                <c:pt idx="163">
                  <c:v>4.1318999999999999</c:v>
                </c:pt>
                <c:pt idx="164">
                  <c:v>2.9994000000000001</c:v>
                </c:pt>
                <c:pt idx="165">
                  <c:v>5.52</c:v>
                </c:pt>
                <c:pt idx="166">
                  <c:v>9.9571000000000005</c:v>
                </c:pt>
                <c:pt idx="167">
                  <c:v>3.3538999999999999</c:v>
                </c:pt>
                <c:pt idx="168">
                  <c:v>4.1573000000000002</c:v>
                </c:pt>
                <c:pt idx="169">
                  <c:v>2.1839</c:v>
                </c:pt>
                <c:pt idx="170">
                  <c:v>2.4335</c:v>
                </c:pt>
                <c:pt idx="171">
                  <c:v>2.6353</c:v>
                </c:pt>
                <c:pt idx="172">
                  <c:v>2.1482000000000001</c:v>
                </c:pt>
                <c:pt idx="173">
                  <c:v>2.4125999999999999</c:v>
                </c:pt>
                <c:pt idx="174">
                  <c:v>2.9472</c:v>
                </c:pt>
                <c:pt idx="175">
                  <c:v>2.3140999999999998</c:v>
                </c:pt>
                <c:pt idx="176">
                  <c:v>2.0528</c:v>
                </c:pt>
                <c:pt idx="177">
                  <c:v>3.3197000000000001</c:v>
                </c:pt>
                <c:pt idx="178">
                  <c:v>3.3879000000000001</c:v>
                </c:pt>
                <c:pt idx="179">
                  <c:v>2.8043</c:v>
                </c:pt>
                <c:pt idx="180">
                  <c:v>3.7829000000000002</c:v>
                </c:pt>
                <c:pt idx="181">
                  <c:v>3.3412000000000002</c:v>
                </c:pt>
                <c:pt idx="182">
                  <c:v>3.2681</c:v>
                </c:pt>
                <c:pt idx="183">
                  <c:v>2.5518000000000001</c:v>
                </c:pt>
                <c:pt idx="184">
                  <c:v>1.6802999999999999</c:v>
                </c:pt>
                <c:pt idx="185">
                  <c:v>2.0988000000000002</c:v>
                </c:pt>
                <c:pt idx="186">
                  <c:v>2.3913000000000002</c:v>
                </c:pt>
                <c:pt idx="187">
                  <c:v>3.1922000000000001</c:v>
                </c:pt>
                <c:pt idx="188">
                  <c:v>4.3563999999999998</c:v>
                </c:pt>
                <c:pt idx="189">
                  <c:v>3.6299000000000001</c:v>
                </c:pt>
                <c:pt idx="190">
                  <c:v>2.9237000000000002</c:v>
                </c:pt>
                <c:pt idx="191">
                  <c:v>2.5756999999999999</c:v>
                </c:pt>
                <c:pt idx="192">
                  <c:v>2.7378999999999998</c:v>
                </c:pt>
                <c:pt idx="193">
                  <c:v>3.0533999999999999</c:v>
                </c:pt>
                <c:pt idx="194">
                  <c:v>2.7191999999999998</c:v>
                </c:pt>
                <c:pt idx="195">
                  <c:v>2.3933</c:v>
                </c:pt>
                <c:pt idx="196">
                  <c:v>2.569</c:v>
                </c:pt>
                <c:pt idx="197">
                  <c:v>1.9369000000000001</c:v>
                </c:pt>
                <c:pt idx="198">
                  <c:v>2.9575</c:v>
                </c:pt>
                <c:pt idx="199">
                  <c:v>2.5836000000000001</c:v>
                </c:pt>
                <c:pt idx="200">
                  <c:v>4.6166</c:v>
                </c:pt>
                <c:pt idx="201">
                  <c:v>4.6691000000000003</c:v>
                </c:pt>
                <c:pt idx="202">
                  <c:v>2.7808999999999999</c:v>
                </c:pt>
                <c:pt idx="203">
                  <c:v>2.4114</c:v>
                </c:pt>
                <c:pt idx="204">
                  <c:v>2.3794</c:v>
                </c:pt>
                <c:pt idx="205">
                  <c:v>2.1162000000000001</c:v>
                </c:pt>
                <c:pt idx="206">
                  <c:v>3.6345000000000001</c:v>
                </c:pt>
                <c:pt idx="207">
                  <c:v>4.4307999999999996</c:v>
                </c:pt>
                <c:pt idx="208">
                  <c:v>2.5623</c:v>
                </c:pt>
                <c:pt idx="209">
                  <c:v>2.8424</c:v>
                </c:pt>
                <c:pt idx="210">
                  <c:v>2.8355999999999999</c:v>
                </c:pt>
                <c:pt idx="211">
                  <c:v>4.5231000000000003</c:v>
                </c:pt>
                <c:pt idx="212">
                  <c:v>3.2692000000000001</c:v>
                </c:pt>
                <c:pt idx="213">
                  <c:v>2.5329999999999999</c:v>
                </c:pt>
                <c:pt idx="214">
                  <c:v>2.4091</c:v>
                </c:pt>
                <c:pt idx="215">
                  <c:v>1.9955000000000001</c:v>
                </c:pt>
                <c:pt idx="216">
                  <c:v>2.0341999999999998</c:v>
                </c:pt>
                <c:pt idx="217">
                  <c:v>1.8196000000000001</c:v>
                </c:pt>
                <c:pt idx="218">
                  <c:v>2.4201000000000001</c:v>
                </c:pt>
                <c:pt idx="219">
                  <c:v>2.1095000000000002</c:v>
                </c:pt>
                <c:pt idx="220">
                  <c:v>5.1750999999999996</c:v>
                </c:pt>
                <c:pt idx="221">
                  <c:v>3.1741000000000001</c:v>
                </c:pt>
                <c:pt idx="222">
                  <c:v>2.3860999999999999</c:v>
                </c:pt>
                <c:pt idx="223">
                  <c:v>2.1398000000000001</c:v>
                </c:pt>
                <c:pt idx="224">
                  <c:v>1.8814</c:v>
                </c:pt>
                <c:pt idx="225">
                  <c:v>3.1391</c:v>
                </c:pt>
                <c:pt idx="226">
                  <c:v>2.226</c:v>
                </c:pt>
                <c:pt idx="227">
                  <c:v>2.6983000000000001</c:v>
                </c:pt>
                <c:pt idx="228">
                  <c:v>2.7021999999999999</c:v>
                </c:pt>
                <c:pt idx="229">
                  <c:v>5.7087000000000003</c:v>
                </c:pt>
                <c:pt idx="230">
                  <c:v>6.4695</c:v>
                </c:pt>
                <c:pt idx="231">
                  <c:v>3.6089000000000002</c:v>
                </c:pt>
                <c:pt idx="232">
                  <c:v>2.6276000000000002</c:v>
                </c:pt>
                <c:pt idx="233">
                  <c:v>3.3972000000000002</c:v>
                </c:pt>
                <c:pt idx="234">
                  <c:v>5.3529999999999998</c:v>
                </c:pt>
                <c:pt idx="235">
                  <c:v>4.9935</c:v>
                </c:pt>
                <c:pt idx="236">
                  <c:v>3.0739999999999998</c:v>
                </c:pt>
                <c:pt idx="237">
                  <c:v>4.2949000000000002</c:v>
                </c:pt>
                <c:pt idx="238">
                  <c:v>4.0274000000000001</c:v>
                </c:pt>
                <c:pt idx="239">
                  <c:v>2.2644000000000002</c:v>
                </c:pt>
                <c:pt idx="240">
                  <c:v>2.6884999999999999</c:v>
                </c:pt>
                <c:pt idx="241">
                  <c:v>2.9297</c:v>
                </c:pt>
                <c:pt idx="242">
                  <c:v>2.2170999999999998</c:v>
                </c:pt>
                <c:pt idx="243">
                  <c:v>2.5602999999999998</c:v>
                </c:pt>
                <c:pt idx="244">
                  <c:v>5.7035</c:v>
                </c:pt>
                <c:pt idx="245">
                  <c:v>4.9367000000000001</c:v>
                </c:pt>
                <c:pt idx="246">
                  <c:v>4.8422000000000001</c:v>
                </c:pt>
                <c:pt idx="247">
                  <c:v>3.6901999999999999</c:v>
                </c:pt>
                <c:pt idx="248">
                  <c:v>2.3279999999999998</c:v>
                </c:pt>
                <c:pt idx="249">
                  <c:v>2.9912999999999998</c:v>
                </c:pt>
                <c:pt idx="250">
                  <c:v>3.2656000000000001</c:v>
                </c:pt>
                <c:pt idx="251">
                  <c:v>4.0011000000000001</c:v>
                </c:pt>
              </c:numCache>
            </c:numRef>
          </c:val>
          <c:smooth val="1"/>
          <c:extLst>
            <c:ext xmlns:c16="http://schemas.microsoft.com/office/drawing/2014/chart" uri="{C3380CC4-5D6E-409C-BE32-E72D297353CC}">
              <c16:uniqueId val="{00000000-8238-7447-8482-EC64716E6E35}"/>
            </c:ext>
          </c:extLst>
        </c:ser>
        <c:dLbls>
          <c:showLegendKey val="0"/>
          <c:showVal val="0"/>
          <c:showCatName val="0"/>
          <c:showSerName val="0"/>
          <c:showPercent val="0"/>
          <c:showBubbleSize val="0"/>
        </c:dLbls>
        <c:smooth val="0"/>
        <c:axId val="301642879"/>
        <c:axId val="301644671"/>
      </c:lineChart>
      <c:dateAx>
        <c:axId val="301642879"/>
        <c:scaling>
          <c:orientation val="minMax"/>
        </c:scaling>
        <c:delete val="0"/>
        <c:axPos val="b"/>
        <c:numFmt formatCode="[$]mmm\-yy;@" c16r2:formatcode2="[$-en-PL,1]mmm\-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01644671"/>
        <c:crosses val="autoZero"/>
        <c:auto val="1"/>
        <c:lblOffset val="100"/>
        <c:baseTimeUnit val="days"/>
        <c:majorUnit val="31"/>
        <c:majorTimeUnit val="days"/>
        <c:minorUnit val="31"/>
        <c:minorTimeUnit val="days"/>
      </c:dateAx>
      <c:valAx>
        <c:axId val="301644671"/>
        <c:scaling>
          <c:orientation val="minMax"/>
          <c:max val="10"/>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01642879"/>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Relationship Between</a:t>
            </a:r>
            <a:r>
              <a:rPr lang="en-US" b="1" baseline="0"/>
              <a:t> Daily High and Low Prices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L"/>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53097589018186886"/>
                  <c:y val="-6.1659284776902884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L"/>
                </a:p>
              </c:txPr>
            </c:trendlineLbl>
          </c:trendline>
          <c:xVal>
            <c:numRef>
              <c:f>Amazon_stock!$C$2:$C$253</c:f>
              <c:numCache>
                <c:formatCode>General</c:formatCode>
                <c:ptCount val="252"/>
                <c:pt idx="0">
                  <c:v>3248.9499510000001</c:v>
                </c:pt>
                <c:pt idx="1">
                  <c:v>3232</c:v>
                </c:pt>
                <c:pt idx="2">
                  <c:v>3228.639893</c:v>
                </c:pt>
                <c:pt idx="3">
                  <c:v>3198.209961</c:v>
                </c:pt>
                <c:pt idx="4">
                  <c:v>3180.76001</c:v>
                </c:pt>
                <c:pt idx="5">
                  <c:v>3184.1298830000001</c:v>
                </c:pt>
                <c:pt idx="6">
                  <c:v>3174.429932</c:v>
                </c:pt>
                <c:pt idx="7">
                  <c:v>3142.1000979999999</c:v>
                </c:pt>
                <c:pt idx="8">
                  <c:v>3118.669922</c:v>
                </c:pt>
                <c:pt idx="9">
                  <c:v>3190.469971</c:v>
                </c:pt>
                <c:pt idx="10">
                  <c:v>3188.5</c:v>
                </c:pt>
                <c:pt idx="11">
                  <c:v>3247</c:v>
                </c:pt>
                <c:pt idx="12">
                  <c:v>3263.51001</c:v>
                </c:pt>
                <c:pt idx="13">
                  <c:v>3249.419922</c:v>
                </c:pt>
                <c:pt idx="14">
                  <c:v>3226.969971</c:v>
                </c:pt>
                <c:pt idx="15">
                  <c:v>3222</c:v>
                </c:pt>
                <c:pt idx="16">
                  <c:v>3210.1298830000001</c:v>
                </c:pt>
                <c:pt idx="17">
                  <c:v>3202</c:v>
                </c:pt>
                <c:pt idx="18">
                  <c:v>3304</c:v>
                </c:pt>
                <c:pt idx="19">
                  <c:v>3350.6499020000001</c:v>
                </c:pt>
                <c:pt idx="20">
                  <c:v>3342.1000979999999</c:v>
                </c:pt>
                <c:pt idx="21">
                  <c:v>3282.919922</c:v>
                </c:pt>
                <c:pt idx="22">
                  <c:v>3272</c:v>
                </c:pt>
                <c:pt idx="23">
                  <c:v>3223.3798830000001</c:v>
                </c:pt>
                <c:pt idx="24">
                  <c:v>3197.51001</c:v>
                </c:pt>
                <c:pt idx="25">
                  <c:v>3208.540039</c:v>
                </c:pt>
                <c:pt idx="26">
                  <c:v>3190.639893</c:v>
                </c:pt>
                <c:pt idx="27">
                  <c:v>3156.3798830000001</c:v>
                </c:pt>
                <c:pt idx="28">
                  <c:v>3142.139893</c:v>
                </c:pt>
                <c:pt idx="29">
                  <c:v>3189.9499510000001</c:v>
                </c:pt>
                <c:pt idx="30">
                  <c:v>3178</c:v>
                </c:pt>
                <c:pt idx="31">
                  <c:v>3142.5500489999999</c:v>
                </c:pt>
                <c:pt idx="32">
                  <c:v>3145</c:v>
                </c:pt>
                <c:pt idx="33">
                  <c:v>3279.8000489999999</c:v>
                </c:pt>
                <c:pt idx="34">
                  <c:v>3348.5500489999999</c:v>
                </c:pt>
                <c:pt idx="35">
                  <c:v>3321.9099120000001</c:v>
                </c:pt>
                <c:pt idx="36">
                  <c:v>3363.889893</c:v>
                </c:pt>
                <c:pt idx="37">
                  <c:v>3338</c:v>
                </c:pt>
                <c:pt idx="38">
                  <c:v>3346.5200199999999</c:v>
                </c:pt>
                <c:pt idx="39">
                  <c:v>3301.679932</c:v>
                </c:pt>
                <c:pt idx="40">
                  <c:v>3236.98999</c:v>
                </c:pt>
                <c:pt idx="41">
                  <c:v>3350.26001</c:v>
                </c:pt>
                <c:pt idx="42">
                  <c:v>3427.73999</c:v>
                </c:pt>
                <c:pt idx="43">
                  <c:v>3434</c:v>
                </c:pt>
                <c:pt idx="44">
                  <c:v>3347</c:v>
                </c:pt>
                <c:pt idx="45">
                  <c:v>3377</c:v>
                </c:pt>
                <c:pt idx="46">
                  <c:v>3365</c:v>
                </c:pt>
                <c:pt idx="47">
                  <c:v>3338</c:v>
                </c:pt>
                <c:pt idx="48">
                  <c:v>3317.9499510000001</c:v>
                </c:pt>
                <c:pt idx="49">
                  <c:v>3292</c:v>
                </c:pt>
                <c:pt idx="50">
                  <c:v>3280.25</c:v>
                </c:pt>
                <c:pt idx="51">
                  <c:v>3308.3000489999999</c:v>
                </c:pt>
                <c:pt idx="52">
                  <c:v>3320.9099120000001</c:v>
                </c:pt>
                <c:pt idx="53">
                  <c:v>3338</c:v>
                </c:pt>
                <c:pt idx="54">
                  <c:v>3333.5</c:v>
                </c:pt>
                <c:pt idx="55">
                  <c:v>3232.320068</c:v>
                </c:pt>
                <c:pt idx="56">
                  <c:v>3204.7299800000001</c:v>
                </c:pt>
                <c:pt idx="57">
                  <c:v>3171.2299800000001</c:v>
                </c:pt>
                <c:pt idx="58">
                  <c:v>3178.26001</c:v>
                </c:pt>
                <c:pt idx="59">
                  <c:v>3122.4399410000001</c:v>
                </c:pt>
                <c:pt idx="60">
                  <c:v>3149.5600589999999</c:v>
                </c:pt>
                <c:pt idx="61">
                  <c:v>3163.5200199999999</c:v>
                </c:pt>
                <c:pt idx="62">
                  <c:v>3107.780029</c:v>
                </c:pt>
                <c:pt idx="63">
                  <c:v>3058.1298830000001</c:v>
                </c:pt>
                <c:pt idx="64">
                  <c:v>3009</c:v>
                </c:pt>
                <c:pt idx="65">
                  <c:v>3064.5900879999999</c:v>
                </c:pt>
                <c:pt idx="66">
                  <c:v>3090.959961</c:v>
                </c:pt>
                <c:pt idx="67">
                  <c:v>3116.459961</c:v>
                </c:pt>
                <c:pt idx="68">
                  <c:v>3131.780029</c:v>
                </c:pt>
                <c:pt idx="69">
                  <c:v>3098.9799800000001</c:v>
                </c:pt>
                <c:pt idx="70">
                  <c:v>3082.23999</c:v>
                </c:pt>
                <c:pt idx="71">
                  <c:v>3128.9099120000001</c:v>
                </c:pt>
                <c:pt idx="72">
                  <c:v>3173.0500489999999</c:v>
                </c:pt>
                <c:pt idx="73">
                  <c:v>3116.6298830000001</c:v>
                </c:pt>
                <c:pt idx="74">
                  <c:v>3077.290039</c:v>
                </c:pt>
                <c:pt idx="75">
                  <c:v>3126.580078</c:v>
                </c:pt>
                <c:pt idx="76">
                  <c:v>3182</c:v>
                </c:pt>
                <c:pt idx="77">
                  <c:v>3160.3100589999999</c:v>
                </c:pt>
                <c:pt idx="78">
                  <c:v>3109.780029</c:v>
                </c:pt>
                <c:pt idx="79">
                  <c:v>3056.6599120000001</c:v>
                </c:pt>
                <c:pt idx="80">
                  <c:v>3091.25</c:v>
                </c:pt>
                <c:pt idx="81">
                  <c:v>3073</c:v>
                </c:pt>
                <c:pt idx="82">
                  <c:v>3119.330078</c:v>
                </c:pt>
                <c:pt idx="83">
                  <c:v>3162.4399410000001</c:v>
                </c:pt>
                <c:pt idx="84">
                  <c:v>3235.959961</c:v>
                </c:pt>
                <c:pt idx="85">
                  <c:v>3247.3100589999999</c:v>
                </c:pt>
                <c:pt idx="86">
                  <c:v>3303.610107</c:v>
                </c:pt>
                <c:pt idx="87">
                  <c:v>3324.5</c:v>
                </c:pt>
                <c:pt idx="88">
                  <c:v>3372.1999510000001</c:v>
                </c:pt>
                <c:pt idx="89">
                  <c:v>3395.040039</c:v>
                </c:pt>
                <c:pt idx="90">
                  <c:v>3432</c:v>
                </c:pt>
                <c:pt idx="91">
                  <c:v>3404.1298830000001</c:v>
                </c:pt>
                <c:pt idx="92">
                  <c:v>3397</c:v>
                </c:pt>
                <c:pt idx="93">
                  <c:v>3406.8000489999999</c:v>
                </c:pt>
                <c:pt idx="94">
                  <c:v>3435.929932</c:v>
                </c:pt>
                <c:pt idx="95">
                  <c:v>3382.98999</c:v>
                </c:pt>
                <c:pt idx="96">
                  <c:v>3362.860107</c:v>
                </c:pt>
                <c:pt idx="97">
                  <c:v>3372.8701169999999</c:v>
                </c:pt>
                <c:pt idx="98">
                  <c:v>3375</c:v>
                </c:pt>
                <c:pt idx="99">
                  <c:v>3428.4499510000001</c:v>
                </c:pt>
                <c:pt idx="100">
                  <c:v>3460</c:v>
                </c:pt>
                <c:pt idx="101">
                  <c:v>3489.8798830000001</c:v>
                </c:pt>
                <c:pt idx="102">
                  <c:v>3514.4499510000001</c:v>
                </c:pt>
                <c:pt idx="103">
                  <c:v>3554</c:v>
                </c:pt>
                <c:pt idx="104">
                  <c:v>3486.6499020000001</c:v>
                </c:pt>
                <c:pt idx="105">
                  <c:v>3367.9799800000001</c:v>
                </c:pt>
                <c:pt idx="106">
                  <c:v>3354.6999510000001</c:v>
                </c:pt>
                <c:pt idx="107">
                  <c:v>3314.3999020000001</c:v>
                </c:pt>
                <c:pt idx="108">
                  <c:v>3330.889893</c:v>
                </c:pt>
                <c:pt idx="109">
                  <c:v>3283</c:v>
                </c:pt>
                <c:pt idx="110">
                  <c:v>3238</c:v>
                </c:pt>
                <c:pt idx="111">
                  <c:v>3207.9399410000001</c:v>
                </c:pt>
                <c:pt idx="112">
                  <c:v>3203.8400879999999</c:v>
                </c:pt>
                <c:pt idx="113">
                  <c:v>3228.860107</c:v>
                </c:pt>
                <c:pt idx="114">
                  <c:v>3292.75</c:v>
                </c:pt>
                <c:pt idx="115">
                  <c:v>3312</c:v>
                </c:pt>
                <c:pt idx="116">
                  <c:v>3234.75</c:v>
                </c:pt>
                <c:pt idx="117">
                  <c:v>3259.679932</c:v>
                </c:pt>
                <c:pt idx="118">
                  <c:v>3256.6899410000001</c:v>
                </c:pt>
                <c:pt idx="119">
                  <c:v>3257.9499510000001</c:v>
                </c:pt>
                <c:pt idx="120">
                  <c:v>3279.820068</c:v>
                </c:pt>
                <c:pt idx="121">
                  <c:v>3295.7299800000001</c:v>
                </c:pt>
                <c:pt idx="122">
                  <c:v>3260.360107</c:v>
                </c:pt>
                <c:pt idx="123">
                  <c:v>3247.98999</c:v>
                </c:pt>
                <c:pt idx="124">
                  <c:v>3250.9799800000001</c:v>
                </c:pt>
                <c:pt idx="125">
                  <c:v>3235</c:v>
                </c:pt>
                <c:pt idx="126">
                  <c:v>3214.4399410000001</c:v>
                </c:pt>
                <c:pt idx="127">
                  <c:v>3221</c:v>
                </c:pt>
                <c:pt idx="128">
                  <c:v>3208</c:v>
                </c:pt>
                <c:pt idx="129">
                  <c:v>3279.530029</c:v>
                </c:pt>
                <c:pt idx="130">
                  <c:v>3297.580078</c:v>
                </c:pt>
                <c:pt idx="131">
                  <c:v>3351</c:v>
                </c:pt>
                <c:pt idx="132">
                  <c:v>3366.580078</c:v>
                </c:pt>
                <c:pt idx="133">
                  <c:v>3385</c:v>
                </c:pt>
                <c:pt idx="134">
                  <c:v>3396.98999</c:v>
                </c:pt>
                <c:pt idx="135">
                  <c:v>3426.3500979999999</c:v>
                </c:pt>
                <c:pt idx="136">
                  <c:v>3497.1999510000001</c:v>
                </c:pt>
                <c:pt idx="137">
                  <c:v>3507</c:v>
                </c:pt>
                <c:pt idx="138">
                  <c:v>3482</c:v>
                </c:pt>
                <c:pt idx="139">
                  <c:v>3523.780029</c:v>
                </c:pt>
                <c:pt idx="140">
                  <c:v>3521</c:v>
                </c:pt>
                <c:pt idx="141">
                  <c:v>3524.860107</c:v>
                </c:pt>
                <c:pt idx="142">
                  <c:v>3464.820068</c:v>
                </c:pt>
                <c:pt idx="143">
                  <c:v>3448</c:v>
                </c:pt>
                <c:pt idx="144">
                  <c:v>3456.030029</c:v>
                </c:pt>
                <c:pt idx="145">
                  <c:v>3471.6000979999999</c:v>
                </c:pt>
                <c:pt idx="146">
                  <c:v>3457</c:v>
                </c:pt>
                <c:pt idx="147">
                  <c:v>3511.719971</c:v>
                </c:pt>
                <c:pt idx="148">
                  <c:v>3685.4799800000001</c:v>
                </c:pt>
                <c:pt idx="149">
                  <c:v>3734.1999510000001</c:v>
                </c:pt>
                <c:pt idx="150">
                  <c:v>3759.98999</c:v>
                </c:pt>
                <c:pt idx="151">
                  <c:v>3748</c:v>
                </c:pt>
                <c:pt idx="152">
                  <c:v>3757.290039</c:v>
                </c:pt>
                <c:pt idx="153">
                  <c:v>3773.080078</c:v>
                </c:pt>
                <c:pt idx="154">
                  <c:v>3717.6599120000001</c:v>
                </c:pt>
                <c:pt idx="155">
                  <c:v>3695.3999020000001</c:v>
                </c:pt>
                <c:pt idx="156">
                  <c:v>3646.0600589999999</c:v>
                </c:pt>
                <c:pt idx="157">
                  <c:v>3550.209961</c:v>
                </c:pt>
                <c:pt idx="158">
                  <c:v>3592</c:v>
                </c:pt>
                <c:pt idx="159">
                  <c:v>3586.4499510000001</c:v>
                </c:pt>
                <c:pt idx="160">
                  <c:v>3640.0200199999999</c:v>
                </c:pt>
                <c:pt idx="161">
                  <c:v>3666.110107</c:v>
                </c:pt>
                <c:pt idx="162">
                  <c:v>3712.080078</c:v>
                </c:pt>
                <c:pt idx="163">
                  <c:v>3698.5</c:v>
                </c:pt>
                <c:pt idx="164">
                  <c:v>3658.419922</c:v>
                </c:pt>
                <c:pt idx="165">
                  <c:v>3637.9499510000001</c:v>
                </c:pt>
                <c:pt idx="166">
                  <c:v>3368.139893</c:v>
                </c:pt>
                <c:pt idx="167">
                  <c:v>3358.919922</c:v>
                </c:pt>
                <c:pt idx="168">
                  <c:v>3391</c:v>
                </c:pt>
                <c:pt idx="169">
                  <c:v>3388.8798830000001</c:v>
                </c:pt>
                <c:pt idx="170">
                  <c:v>3389</c:v>
                </c:pt>
                <c:pt idx="171">
                  <c:v>3375</c:v>
                </c:pt>
                <c:pt idx="172">
                  <c:v>3354.8798830000001</c:v>
                </c:pt>
                <c:pt idx="173">
                  <c:v>3358</c:v>
                </c:pt>
                <c:pt idx="174">
                  <c:v>3337.6999510000001</c:v>
                </c:pt>
                <c:pt idx="175">
                  <c:v>3314.51001</c:v>
                </c:pt>
                <c:pt idx="176">
                  <c:v>3306.070068</c:v>
                </c:pt>
                <c:pt idx="177">
                  <c:v>3300</c:v>
                </c:pt>
                <c:pt idx="178">
                  <c:v>3280.48999</c:v>
                </c:pt>
                <c:pt idx="179">
                  <c:v>3254.1000979999999</c:v>
                </c:pt>
                <c:pt idx="180">
                  <c:v>3233</c:v>
                </c:pt>
                <c:pt idx="181">
                  <c:v>3207.8100589999999</c:v>
                </c:pt>
                <c:pt idx="182">
                  <c:v>3280.8999020000001</c:v>
                </c:pt>
                <c:pt idx="183">
                  <c:v>3315.48999</c:v>
                </c:pt>
                <c:pt idx="184">
                  <c:v>3321</c:v>
                </c:pt>
                <c:pt idx="185">
                  <c:v>3332</c:v>
                </c:pt>
                <c:pt idx="186">
                  <c:v>3352.320068</c:v>
                </c:pt>
                <c:pt idx="187">
                  <c:v>3445</c:v>
                </c:pt>
                <c:pt idx="188">
                  <c:v>3472.580078</c:v>
                </c:pt>
                <c:pt idx="189">
                  <c:v>3527</c:v>
                </c:pt>
                <c:pt idx="190">
                  <c:v>3511.959961</c:v>
                </c:pt>
                <c:pt idx="191">
                  <c:v>3482.669922</c:v>
                </c:pt>
                <c:pt idx="192">
                  <c:v>3528.0900879999999</c:v>
                </c:pt>
                <c:pt idx="193">
                  <c:v>3545.6298830000001</c:v>
                </c:pt>
                <c:pt idx="194">
                  <c:v>3549.98999</c:v>
                </c:pt>
                <c:pt idx="195">
                  <c:v>3508.4499510000001</c:v>
                </c:pt>
                <c:pt idx="196">
                  <c:v>3497.959961</c:v>
                </c:pt>
                <c:pt idx="197">
                  <c:v>3486.8100589999999</c:v>
                </c:pt>
                <c:pt idx="198">
                  <c:v>3485.419922</c:v>
                </c:pt>
                <c:pt idx="199">
                  <c:v>3492.5500489999999</c:v>
                </c:pt>
                <c:pt idx="200">
                  <c:v>3497.4099120000001</c:v>
                </c:pt>
                <c:pt idx="201">
                  <c:v>3419</c:v>
                </c:pt>
                <c:pt idx="202">
                  <c:v>3379.6999510000001</c:v>
                </c:pt>
                <c:pt idx="203">
                  <c:v>3389</c:v>
                </c:pt>
                <c:pt idx="204">
                  <c:v>3428.959961</c:v>
                </c:pt>
                <c:pt idx="205">
                  <c:v>3429.26001</c:v>
                </c:pt>
                <c:pt idx="206">
                  <c:v>3415.570068</c:v>
                </c:pt>
                <c:pt idx="207">
                  <c:v>3369.1899410000001</c:v>
                </c:pt>
                <c:pt idx="208">
                  <c:v>3351.3000489999999</c:v>
                </c:pt>
                <c:pt idx="209">
                  <c:v>3327.8500979999999</c:v>
                </c:pt>
                <c:pt idx="210">
                  <c:v>3309.169922</c:v>
                </c:pt>
                <c:pt idx="211">
                  <c:v>3279.98999</c:v>
                </c:pt>
                <c:pt idx="212">
                  <c:v>3260.7299800000001</c:v>
                </c:pt>
                <c:pt idx="213">
                  <c:v>3264.3400879999999</c:v>
                </c:pt>
                <c:pt idx="214">
                  <c:v>3325.75</c:v>
                </c:pt>
                <c:pt idx="215">
                  <c:v>3321.429932</c:v>
                </c:pt>
                <c:pt idx="216">
                  <c:v>3292.5900879999999</c:v>
                </c:pt>
                <c:pt idx="217">
                  <c:v>3267.530029</c:v>
                </c:pt>
                <c:pt idx="218">
                  <c:v>3288.3798830000001</c:v>
                </c:pt>
                <c:pt idx="219">
                  <c:v>3312.6000979999999</c:v>
                </c:pt>
                <c:pt idx="220">
                  <c:v>3410.419922</c:v>
                </c:pt>
                <c:pt idx="221">
                  <c:v>3449.169922</c:v>
                </c:pt>
                <c:pt idx="222">
                  <c:v>3454.6899410000001</c:v>
                </c:pt>
                <c:pt idx="223">
                  <c:v>3462.860107</c:v>
                </c:pt>
                <c:pt idx="224">
                  <c:v>3440.280029</c:v>
                </c:pt>
                <c:pt idx="225">
                  <c:v>3429.8400879999999</c:v>
                </c:pt>
                <c:pt idx="226">
                  <c:v>3347.8000489999999</c:v>
                </c:pt>
                <c:pt idx="227">
                  <c:v>3416.1201169999999</c:v>
                </c:pt>
                <c:pt idx="228">
                  <c:v>3437</c:v>
                </c:pt>
                <c:pt idx="229">
                  <c:v>3479</c:v>
                </c:pt>
                <c:pt idx="230">
                  <c:v>3374.820068</c:v>
                </c:pt>
                <c:pt idx="231">
                  <c:v>3375.860107</c:v>
                </c:pt>
                <c:pt idx="232">
                  <c:v>3331.1201169999999</c:v>
                </c:pt>
                <c:pt idx="233">
                  <c:v>3394.919922</c:v>
                </c:pt>
                <c:pt idx="234">
                  <c:v>3498.6298830000001</c:v>
                </c:pt>
                <c:pt idx="235">
                  <c:v>3566.25</c:v>
                </c:pt>
                <c:pt idx="236">
                  <c:v>3579</c:v>
                </c:pt>
                <c:pt idx="237">
                  <c:v>3593.7700199999999</c:v>
                </c:pt>
                <c:pt idx="238">
                  <c:v>3605.4499510000001</c:v>
                </c:pt>
                <c:pt idx="239">
                  <c:v>3543.23999</c:v>
                </c:pt>
                <c:pt idx="240">
                  <c:v>3540.7299800000001</c:v>
                </c:pt>
                <c:pt idx="241">
                  <c:v>3593.8798830000001</c:v>
                </c:pt>
                <c:pt idx="242">
                  <c:v>3576.5</c:v>
                </c:pt>
                <c:pt idx="243">
                  <c:v>3587.25</c:v>
                </c:pt>
                <c:pt idx="244">
                  <c:v>3704.1999510000001</c:v>
                </c:pt>
                <c:pt idx="245">
                  <c:v>3762.1499020000001</c:v>
                </c:pt>
                <c:pt idx="246">
                  <c:v>3713.459961</c:v>
                </c:pt>
                <c:pt idx="247">
                  <c:v>3621.0500489999999</c:v>
                </c:pt>
                <c:pt idx="248">
                  <c:v>3613.639893</c:v>
                </c:pt>
                <c:pt idx="249">
                  <c:v>3633.5</c:v>
                </c:pt>
                <c:pt idx="250">
                  <c:v>3596</c:v>
                </c:pt>
                <c:pt idx="251">
                  <c:v>3585.7700199999999</c:v>
                </c:pt>
              </c:numCache>
            </c:numRef>
          </c:xVal>
          <c:yVal>
            <c:numRef>
              <c:f>Amazon_stock!$D$2:$D$253</c:f>
              <c:numCache>
                <c:formatCode>General</c:formatCode>
                <c:ptCount val="252"/>
                <c:pt idx="0">
                  <c:v>3157.179932</c:v>
                </c:pt>
                <c:pt idx="1">
                  <c:v>3173.26001</c:v>
                </c:pt>
                <c:pt idx="2">
                  <c:v>3181.3100589999999</c:v>
                </c:pt>
                <c:pt idx="3">
                  <c:v>3158.76001</c:v>
                </c:pt>
                <c:pt idx="4">
                  <c:v>3141.6899410000001</c:v>
                </c:pt>
                <c:pt idx="5">
                  <c:v>3120.0200199999999</c:v>
                </c:pt>
                <c:pt idx="6">
                  <c:v>3088</c:v>
                </c:pt>
                <c:pt idx="7">
                  <c:v>3076</c:v>
                </c:pt>
                <c:pt idx="8">
                  <c:v>3072.820068</c:v>
                </c:pt>
                <c:pt idx="9">
                  <c:v>3126</c:v>
                </c:pt>
                <c:pt idx="10">
                  <c:v>3130.48999</c:v>
                </c:pt>
                <c:pt idx="11">
                  <c:v>3163.679932</c:v>
                </c:pt>
                <c:pt idx="12">
                  <c:v>3221</c:v>
                </c:pt>
                <c:pt idx="13">
                  <c:v>3171.6000979999999</c:v>
                </c:pt>
                <c:pt idx="14">
                  <c:v>3166</c:v>
                </c:pt>
                <c:pt idx="15">
                  <c:v>3180.080078</c:v>
                </c:pt>
                <c:pt idx="16">
                  <c:v>3184.169922</c:v>
                </c:pt>
                <c:pt idx="17">
                  <c:v>3169</c:v>
                </c:pt>
                <c:pt idx="18">
                  <c:v>3172.6899410000001</c:v>
                </c:pt>
                <c:pt idx="19">
                  <c:v>3281.219971</c:v>
                </c:pt>
                <c:pt idx="20">
                  <c:v>3282.469971</c:v>
                </c:pt>
                <c:pt idx="21">
                  <c:v>3241.1999510000001</c:v>
                </c:pt>
                <c:pt idx="22">
                  <c:v>3144.0200199999999</c:v>
                </c:pt>
                <c:pt idx="23">
                  <c:v>3165.0600589999999</c:v>
                </c:pt>
                <c:pt idx="24">
                  <c:v>3131.1599120000001</c:v>
                </c:pt>
                <c:pt idx="25">
                  <c:v>3155</c:v>
                </c:pt>
                <c:pt idx="26">
                  <c:v>3142.1999510000001</c:v>
                </c:pt>
                <c:pt idx="27">
                  <c:v>3110</c:v>
                </c:pt>
                <c:pt idx="28">
                  <c:v>3086</c:v>
                </c:pt>
                <c:pt idx="29">
                  <c:v>3122.080078</c:v>
                </c:pt>
                <c:pt idx="30">
                  <c:v>3120.5900879999999</c:v>
                </c:pt>
                <c:pt idx="31">
                  <c:v>3095.169922</c:v>
                </c:pt>
                <c:pt idx="32">
                  <c:v>3096</c:v>
                </c:pt>
                <c:pt idx="33">
                  <c:v>3175</c:v>
                </c:pt>
                <c:pt idx="34">
                  <c:v>3289.570068</c:v>
                </c:pt>
                <c:pt idx="35">
                  <c:v>3283.1599120000001</c:v>
                </c:pt>
                <c:pt idx="36">
                  <c:v>3243.1499020000001</c:v>
                </c:pt>
                <c:pt idx="37">
                  <c:v>3282.8701169999999</c:v>
                </c:pt>
                <c:pt idx="38">
                  <c:v>3207.080078</c:v>
                </c:pt>
                <c:pt idx="39">
                  <c:v>3228.6899410000001</c:v>
                </c:pt>
                <c:pt idx="40">
                  <c:v>3184.5500489999999</c:v>
                </c:pt>
                <c:pt idx="41">
                  <c:v>3235.030029</c:v>
                </c:pt>
                <c:pt idx="42">
                  <c:v>3361.1298830000001</c:v>
                </c:pt>
                <c:pt idx="43">
                  <c:v>3308.6201169999999</c:v>
                </c:pt>
                <c:pt idx="44">
                  <c:v>3277.75</c:v>
                </c:pt>
                <c:pt idx="45">
                  <c:v>3302.709961</c:v>
                </c:pt>
                <c:pt idx="46">
                  <c:v>3304</c:v>
                </c:pt>
                <c:pt idx="47">
                  <c:v>3297.8400879999999</c:v>
                </c:pt>
                <c:pt idx="48">
                  <c:v>3254</c:v>
                </c:pt>
                <c:pt idx="49">
                  <c:v>3248.0600589999999</c:v>
                </c:pt>
                <c:pt idx="50">
                  <c:v>3233.3100589999999</c:v>
                </c:pt>
                <c:pt idx="51">
                  <c:v>3253.5900879999999</c:v>
                </c:pt>
                <c:pt idx="52">
                  <c:v>3259.5</c:v>
                </c:pt>
                <c:pt idx="53">
                  <c:v>3273.9399410000001</c:v>
                </c:pt>
                <c:pt idx="54">
                  <c:v>3245.75</c:v>
                </c:pt>
                <c:pt idx="55">
                  <c:v>3172.26001</c:v>
                </c:pt>
                <c:pt idx="56">
                  <c:v>3093.6000979999999</c:v>
                </c:pt>
                <c:pt idx="57">
                  <c:v>3125.3798830000001</c:v>
                </c:pt>
                <c:pt idx="58">
                  <c:v>3047.76001</c:v>
                </c:pt>
                <c:pt idx="59">
                  <c:v>3036.6999510000001</c:v>
                </c:pt>
                <c:pt idx="60">
                  <c:v>3097.98999</c:v>
                </c:pt>
                <c:pt idx="61">
                  <c:v>3087.1201169999999</c:v>
                </c:pt>
                <c:pt idx="62">
                  <c:v>2995</c:v>
                </c:pt>
                <c:pt idx="63">
                  <c:v>2945.429932</c:v>
                </c:pt>
                <c:pt idx="64">
                  <c:v>2881</c:v>
                </c:pt>
                <c:pt idx="65">
                  <c:v>2951.3100589999999</c:v>
                </c:pt>
                <c:pt idx="66">
                  <c:v>3005.1499020000001</c:v>
                </c:pt>
                <c:pt idx="67">
                  <c:v>3030.0500489999999</c:v>
                </c:pt>
                <c:pt idx="68">
                  <c:v>3082.929932</c:v>
                </c:pt>
                <c:pt idx="69">
                  <c:v>3045.5</c:v>
                </c:pt>
                <c:pt idx="70">
                  <c:v>3032.0900879999999</c:v>
                </c:pt>
                <c:pt idx="71">
                  <c:v>3075.860107</c:v>
                </c:pt>
                <c:pt idx="72">
                  <c:v>3070.219971</c:v>
                </c:pt>
                <c:pt idx="73">
                  <c:v>3025</c:v>
                </c:pt>
                <c:pt idx="74">
                  <c:v>3016.6298830000001</c:v>
                </c:pt>
                <c:pt idx="75">
                  <c:v>3060.0500489999999</c:v>
                </c:pt>
                <c:pt idx="76">
                  <c:v>3120.8500979999999</c:v>
                </c:pt>
                <c:pt idx="77">
                  <c:v>3085.1499020000001</c:v>
                </c:pt>
                <c:pt idx="78">
                  <c:v>3037.139893</c:v>
                </c:pt>
                <c:pt idx="79">
                  <c:v>2996</c:v>
                </c:pt>
                <c:pt idx="80">
                  <c:v>3028.4499510000001</c:v>
                </c:pt>
                <c:pt idx="81">
                  <c:v>3034</c:v>
                </c:pt>
                <c:pt idx="82">
                  <c:v>3062.5</c:v>
                </c:pt>
                <c:pt idx="83">
                  <c:v>3115.5500489999999</c:v>
                </c:pt>
                <c:pt idx="84">
                  <c:v>3161.23999</c:v>
                </c:pt>
                <c:pt idx="85">
                  <c:v>3217.040039</c:v>
                </c:pt>
                <c:pt idx="86">
                  <c:v>3223.6499020000001</c:v>
                </c:pt>
                <c:pt idx="87">
                  <c:v>3292</c:v>
                </c:pt>
                <c:pt idx="88">
                  <c:v>3288.8999020000001</c:v>
                </c:pt>
                <c:pt idx="89">
                  <c:v>3351.1499020000001</c:v>
                </c:pt>
                <c:pt idx="90">
                  <c:v>3395.6298830000001</c:v>
                </c:pt>
                <c:pt idx="91">
                  <c:v>3326</c:v>
                </c:pt>
                <c:pt idx="92">
                  <c:v>3352</c:v>
                </c:pt>
                <c:pt idx="93">
                  <c:v>3355.5900879999999</c:v>
                </c:pt>
                <c:pt idx="94">
                  <c:v>3360.1599120000001</c:v>
                </c:pt>
                <c:pt idx="95">
                  <c:v>3316</c:v>
                </c:pt>
                <c:pt idx="96">
                  <c:v>3303.8100589999999</c:v>
                </c:pt>
                <c:pt idx="97">
                  <c:v>3301.4499510000001</c:v>
                </c:pt>
                <c:pt idx="98">
                  <c:v>3308.5</c:v>
                </c:pt>
                <c:pt idx="99">
                  <c:v>3330.9399410000001</c:v>
                </c:pt>
                <c:pt idx="100">
                  <c:v>3398.01001</c:v>
                </c:pt>
                <c:pt idx="101">
                  <c:v>3425</c:v>
                </c:pt>
                <c:pt idx="102">
                  <c:v>3435</c:v>
                </c:pt>
                <c:pt idx="103">
                  <c:v>3462.5</c:v>
                </c:pt>
                <c:pt idx="104">
                  <c:v>3372.6999510000001</c:v>
                </c:pt>
                <c:pt idx="105">
                  <c:v>3272.1298830000001</c:v>
                </c:pt>
                <c:pt idx="106">
                  <c:v>3264.360107</c:v>
                </c:pt>
                <c:pt idx="107">
                  <c:v>3247.1999510000001</c:v>
                </c:pt>
                <c:pt idx="108">
                  <c:v>3289.070068</c:v>
                </c:pt>
                <c:pt idx="109">
                  <c:v>3190</c:v>
                </c:pt>
                <c:pt idx="110">
                  <c:v>3127.3701169999999</c:v>
                </c:pt>
                <c:pt idx="111">
                  <c:v>3133.1000979999999</c:v>
                </c:pt>
                <c:pt idx="112">
                  <c:v>3133</c:v>
                </c:pt>
                <c:pt idx="113">
                  <c:v>3183</c:v>
                </c:pt>
                <c:pt idx="114">
                  <c:v>3234.5900879999999</c:v>
                </c:pt>
                <c:pt idx="115">
                  <c:v>3230.3701169999999</c:v>
                </c:pt>
                <c:pt idx="116">
                  <c:v>3184</c:v>
                </c:pt>
                <c:pt idx="117">
                  <c:v>3236.179932</c:v>
                </c:pt>
                <c:pt idx="118">
                  <c:v>3197.01001</c:v>
                </c:pt>
                <c:pt idx="119">
                  <c:v>3210.5</c:v>
                </c:pt>
                <c:pt idx="120">
                  <c:v>3213.76001</c:v>
                </c:pt>
                <c:pt idx="121">
                  <c:v>3258.51001</c:v>
                </c:pt>
                <c:pt idx="122">
                  <c:v>3230.040039</c:v>
                </c:pt>
                <c:pt idx="123">
                  <c:v>3219.6999510000001</c:v>
                </c:pt>
                <c:pt idx="124">
                  <c:v>3209.0600589999999</c:v>
                </c:pt>
                <c:pt idx="125">
                  <c:v>3208</c:v>
                </c:pt>
                <c:pt idx="126">
                  <c:v>3184.030029</c:v>
                </c:pt>
                <c:pt idx="127">
                  <c:v>3198.8100589999999</c:v>
                </c:pt>
                <c:pt idx="128">
                  <c:v>3172.1999510000001</c:v>
                </c:pt>
                <c:pt idx="129">
                  <c:v>3218.01001</c:v>
                </c:pt>
                <c:pt idx="130">
                  <c:v>3270.6999510000001</c:v>
                </c:pt>
                <c:pt idx="131">
                  <c:v>3281.1499020000001</c:v>
                </c:pt>
                <c:pt idx="132">
                  <c:v>3333.4499510000001</c:v>
                </c:pt>
                <c:pt idx="133">
                  <c:v>3335.5</c:v>
                </c:pt>
                <c:pt idx="134">
                  <c:v>3363.110107</c:v>
                </c:pt>
                <c:pt idx="135">
                  <c:v>3360.530029</c:v>
                </c:pt>
                <c:pt idx="136">
                  <c:v>3401</c:v>
                </c:pt>
                <c:pt idx="137">
                  <c:v>3473.709961</c:v>
                </c:pt>
                <c:pt idx="138">
                  <c:v>3434</c:v>
                </c:pt>
                <c:pt idx="139">
                  <c:v>3456.0900879999999</c:v>
                </c:pt>
                <c:pt idx="140">
                  <c:v>3483.1999510000001</c:v>
                </c:pt>
                <c:pt idx="141">
                  <c:v>3430.8500979999999</c:v>
                </c:pt>
                <c:pt idx="142">
                  <c:v>3394.179932</c:v>
                </c:pt>
                <c:pt idx="143">
                  <c:v>3413.51001</c:v>
                </c:pt>
                <c:pt idx="144">
                  <c:v>3423.030029</c:v>
                </c:pt>
                <c:pt idx="145">
                  <c:v>3435</c:v>
                </c:pt>
                <c:pt idx="146">
                  <c:v>3409.419922</c:v>
                </c:pt>
                <c:pt idx="147">
                  <c:v>3436.919922</c:v>
                </c:pt>
                <c:pt idx="148">
                  <c:v>3529</c:v>
                </c:pt>
                <c:pt idx="149">
                  <c:v>3678.9099120000001</c:v>
                </c:pt>
                <c:pt idx="150">
                  <c:v>3621.1201169999999</c:v>
                </c:pt>
                <c:pt idx="151">
                  <c:v>3693.3999020000001</c:v>
                </c:pt>
                <c:pt idx="152">
                  <c:v>3696.790039</c:v>
                </c:pt>
                <c:pt idx="153">
                  <c:v>3671.320068</c:v>
                </c:pt>
                <c:pt idx="154">
                  <c:v>3660.830078</c:v>
                </c:pt>
                <c:pt idx="155">
                  <c:v>3620.919922</c:v>
                </c:pt>
                <c:pt idx="156">
                  <c:v>3570.459961</c:v>
                </c:pt>
                <c:pt idx="157">
                  <c:v>3499.1599120000001</c:v>
                </c:pt>
                <c:pt idx="158">
                  <c:v>3518</c:v>
                </c:pt>
                <c:pt idx="159">
                  <c:v>3543.639893</c:v>
                </c:pt>
                <c:pt idx="160">
                  <c:v>3582.2700199999999</c:v>
                </c:pt>
                <c:pt idx="161">
                  <c:v>3622.040039</c:v>
                </c:pt>
                <c:pt idx="162">
                  <c:v>3647.25</c:v>
                </c:pt>
                <c:pt idx="163">
                  <c:v>3586.1499020000001</c:v>
                </c:pt>
                <c:pt idx="164">
                  <c:v>3601</c:v>
                </c:pt>
                <c:pt idx="165">
                  <c:v>3580.01001</c:v>
                </c:pt>
                <c:pt idx="166">
                  <c:v>3306.9799800000001</c:v>
                </c:pt>
                <c:pt idx="167">
                  <c:v>3317</c:v>
                </c:pt>
                <c:pt idx="168">
                  <c:v>3299.7700199999999</c:v>
                </c:pt>
                <c:pt idx="169">
                  <c:v>3345.5600589999999</c:v>
                </c:pt>
                <c:pt idx="170">
                  <c:v>3340.919922</c:v>
                </c:pt>
                <c:pt idx="171">
                  <c:v>3329.040039</c:v>
                </c:pt>
                <c:pt idx="172">
                  <c:v>3328.5200199999999</c:v>
                </c:pt>
                <c:pt idx="173">
                  <c:v>3315</c:v>
                </c:pt>
                <c:pt idx="174">
                  <c:v>3277.790039</c:v>
                </c:pt>
                <c:pt idx="175">
                  <c:v>3269.669922</c:v>
                </c:pt>
                <c:pt idx="176">
                  <c:v>3283</c:v>
                </c:pt>
                <c:pt idx="177">
                  <c:v>3211.1298830000001</c:v>
                </c:pt>
                <c:pt idx="178">
                  <c:v>3225.679932</c:v>
                </c:pt>
                <c:pt idx="179">
                  <c:v>3200</c:v>
                </c:pt>
                <c:pt idx="180">
                  <c:v>3182.459961</c:v>
                </c:pt>
                <c:pt idx="181">
                  <c:v>3175.76001</c:v>
                </c:pt>
                <c:pt idx="182">
                  <c:v>3210.01001</c:v>
                </c:pt>
                <c:pt idx="183">
                  <c:v>3274.580078</c:v>
                </c:pt>
                <c:pt idx="184">
                  <c:v>3286.1499020000001</c:v>
                </c:pt>
                <c:pt idx="185">
                  <c:v>3296</c:v>
                </c:pt>
                <c:pt idx="186">
                  <c:v>3313.75</c:v>
                </c:pt>
                <c:pt idx="187">
                  <c:v>3355.219971</c:v>
                </c:pt>
                <c:pt idx="188">
                  <c:v>3395.5900879999999</c:v>
                </c:pt>
                <c:pt idx="189">
                  <c:v>3475.23999</c:v>
                </c:pt>
                <c:pt idx="190">
                  <c:v>3455</c:v>
                </c:pt>
                <c:pt idx="191">
                  <c:v>3436.4399410000001</c:v>
                </c:pt>
                <c:pt idx="192">
                  <c:v>3476.9399410000001</c:v>
                </c:pt>
                <c:pt idx="193">
                  <c:v>3495.669922</c:v>
                </c:pt>
                <c:pt idx="194">
                  <c:v>3480.3701169999999</c:v>
                </c:pt>
                <c:pt idx="195">
                  <c:v>3462.9099120000001</c:v>
                </c:pt>
                <c:pt idx="196">
                  <c:v>3438</c:v>
                </c:pt>
                <c:pt idx="197">
                  <c:v>3437.709961</c:v>
                </c:pt>
                <c:pt idx="198">
                  <c:v>3402.01001</c:v>
                </c:pt>
                <c:pt idx="199">
                  <c:v>3446.139893</c:v>
                </c:pt>
                <c:pt idx="200">
                  <c:v>3452.1298830000001</c:v>
                </c:pt>
                <c:pt idx="201">
                  <c:v>3305.01001</c:v>
                </c:pt>
                <c:pt idx="202">
                  <c:v>3332.389893</c:v>
                </c:pt>
                <c:pt idx="203">
                  <c:v>3341.0500489999999</c:v>
                </c:pt>
                <c:pt idx="204">
                  <c:v>3380.0500489999999</c:v>
                </c:pt>
                <c:pt idx="205">
                  <c:v>3393.3999020000001</c:v>
                </c:pt>
                <c:pt idx="206">
                  <c:v>3339.610107</c:v>
                </c:pt>
                <c:pt idx="207">
                  <c:v>3290.1000979999999</c:v>
                </c:pt>
                <c:pt idx="208">
                  <c:v>3297.8701169999999</c:v>
                </c:pt>
                <c:pt idx="209">
                  <c:v>3273.98999</c:v>
                </c:pt>
                <c:pt idx="210">
                  <c:v>3255.9399410000001</c:v>
                </c:pt>
                <c:pt idx="211">
                  <c:v>3176.25</c:v>
                </c:pt>
                <c:pt idx="212">
                  <c:v>3202.459961</c:v>
                </c:pt>
                <c:pt idx="213">
                  <c:v>3198.6201169999999</c:v>
                </c:pt>
                <c:pt idx="214">
                  <c:v>3283.0600589999999</c:v>
                </c:pt>
                <c:pt idx="215">
                  <c:v>3288.1999510000001</c:v>
                </c:pt>
                <c:pt idx="216">
                  <c:v>3238.1000979999999</c:v>
                </c:pt>
                <c:pt idx="217">
                  <c:v>3236.280029</c:v>
                </c:pt>
                <c:pt idx="218">
                  <c:v>3261.0900879999999</c:v>
                </c:pt>
                <c:pt idx="219">
                  <c:v>3290.780029</c:v>
                </c:pt>
                <c:pt idx="220">
                  <c:v>3304</c:v>
                </c:pt>
                <c:pt idx="221">
                  <c:v>3385.1000979999999</c:v>
                </c:pt>
                <c:pt idx="222">
                  <c:v>3422</c:v>
                </c:pt>
                <c:pt idx="223">
                  <c:v>3400.3701169999999</c:v>
                </c:pt>
                <c:pt idx="224">
                  <c:v>3403</c:v>
                </c:pt>
                <c:pt idx="225">
                  <c:v>3331.3000489999999</c:v>
                </c:pt>
                <c:pt idx="226">
                  <c:v>3297.6999510000001</c:v>
                </c:pt>
                <c:pt idx="227">
                  <c:v>3343.9799800000001</c:v>
                </c:pt>
                <c:pt idx="228">
                  <c:v>3371.4499510000001</c:v>
                </c:pt>
                <c:pt idx="229">
                  <c:v>3386</c:v>
                </c:pt>
                <c:pt idx="230">
                  <c:v>3273.320068</c:v>
                </c:pt>
                <c:pt idx="231">
                  <c:v>3292.0200199999999</c:v>
                </c:pt>
                <c:pt idx="232">
                  <c:v>3283.5500489999999</c:v>
                </c:pt>
                <c:pt idx="233">
                  <c:v>3297.5200199999999</c:v>
                </c:pt>
                <c:pt idx="234">
                  <c:v>3365</c:v>
                </c:pt>
                <c:pt idx="235">
                  <c:v>3476.9799800000001</c:v>
                </c:pt>
                <c:pt idx="236">
                  <c:v>3487.860107</c:v>
                </c:pt>
                <c:pt idx="237">
                  <c:v>3501.429932</c:v>
                </c:pt>
                <c:pt idx="238">
                  <c:v>3463.0900879999999</c:v>
                </c:pt>
                <c:pt idx="239">
                  <c:v>3467.469971</c:v>
                </c:pt>
                <c:pt idx="240">
                  <c:v>3447.0500489999999</c:v>
                </c:pt>
                <c:pt idx="241">
                  <c:v>3525.8100589999999</c:v>
                </c:pt>
                <c:pt idx="242">
                  <c:v>3525.1499020000001</c:v>
                </c:pt>
                <c:pt idx="243">
                  <c:v>3545.3500979999999</c:v>
                </c:pt>
                <c:pt idx="244">
                  <c:v>3561</c:v>
                </c:pt>
                <c:pt idx="245">
                  <c:v>3675.719971</c:v>
                </c:pt>
                <c:pt idx="246">
                  <c:v>3567.5</c:v>
                </c:pt>
                <c:pt idx="247">
                  <c:v>3527.709961</c:v>
                </c:pt>
                <c:pt idx="248">
                  <c:v>3536.8500979999999</c:v>
                </c:pt>
                <c:pt idx="249">
                  <c:v>3504.1499020000001</c:v>
                </c:pt>
                <c:pt idx="250">
                  <c:v>3531.5</c:v>
                </c:pt>
                <c:pt idx="251">
                  <c:v>3492.01001</c:v>
                </c:pt>
              </c:numCache>
            </c:numRef>
          </c:yVal>
          <c:smooth val="0"/>
          <c:extLst>
            <c:ext xmlns:c16="http://schemas.microsoft.com/office/drawing/2014/chart" uri="{C3380CC4-5D6E-409C-BE32-E72D297353CC}">
              <c16:uniqueId val="{00000001-4FDD-AE49-966F-1DB52D05F47F}"/>
            </c:ext>
          </c:extLst>
        </c:ser>
        <c:dLbls>
          <c:showLegendKey val="0"/>
          <c:showVal val="0"/>
          <c:showCatName val="0"/>
          <c:showSerName val="0"/>
          <c:showPercent val="0"/>
          <c:showBubbleSize val="0"/>
        </c:dLbls>
        <c:axId val="255884607"/>
        <c:axId val="255876095"/>
      </c:scatterChart>
      <c:valAx>
        <c:axId val="255884607"/>
        <c:scaling>
          <c:orientation val="minMax"/>
          <c:min val="29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Low</a:t>
                </a:r>
                <a:r>
                  <a:rPr lang="en-US" baseline="0"/>
                  <a:t> Price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876095"/>
        <c:crosses val="autoZero"/>
        <c:crossBetween val="midCat"/>
      </c:valAx>
      <c:valAx>
        <c:axId val="255876095"/>
        <c:scaling>
          <c:orientation val="minMax"/>
          <c:min val="2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High 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88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Intraday Trading Range vs. Daily Volume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Amazon_stock!$I$1</c:f>
              <c:strCache>
                <c:ptCount val="1"/>
                <c:pt idx="0">
                  <c:v>High - low</c:v>
                </c:pt>
              </c:strCache>
            </c:strRef>
          </c:tx>
          <c:spPr>
            <a:ln w="28575" cap="rnd">
              <a:solidFill>
                <a:schemeClr val="accent2"/>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Amazon_stock!$I$2:$I$253</c:f>
              <c:numCache>
                <c:formatCode>General</c:formatCode>
                <c:ptCount val="252"/>
                <c:pt idx="0">
                  <c:v>91.770019000000048</c:v>
                </c:pt>
                <c:pt idx="1">
                  <c:v>58.739990000000034</c:v>
                </c:pt>
                <c:pt idx="2">
                  <c:v>47.329834000000119</c:v>
                </c:pt>
                <c:pt idx="3">
                  <c:v>39.449951000000056</c:v>
                </c:pt>
                <c:pt idx="4">
                  <c:v>39.070068999999876</c:v>
                </c:pt>
                <c:pt idx="5">
                  <c:v>64.109863000000132</c:v>
                </c:pt>
                <c:pt idx="6">
                  <c:v>86.429932000000008</c:v>
                </c:pt>
                <c:pt idx="7">
                  <c:v>66.100097999999889</c:v>
                </c:pt>
                <c:pt idx="8">
                  <c:v>45.84985400000005</c:v>
                </c:pt>
                <c:pt idx="9">
                  <c:v>64.469970999999987</c:v>
                </c:pt>
                <c:pt idx="10">
                  <c:v>58.010009999999966</c:v>
                </c:pt>
                <c:pt idx="11">
                  <c:v>83.320067999999992</c:v>
                </c:pt>
                <c:pt idx="12">
                  <c:v>42.510009999999966</c:v>
                </c:pt>
                <c:pt idx="13">
                  <c:v>77.819824000000153</c:v>
                </c:pt>
                <c:pt idx="14">
                  <c:v>60.969970999999987</c:v>
                </c:pt>
                <c:pt idx="15">
                  <c:v>41.919922000000042</c:v>
                </c:pt>
                <c:pt idx="16">
                  <c:v>25.959961000000021</c:v>
                </c:pt>
                <c:pt idx="17">
                  <c:v>33</c:v>
                </c:pt>
                <c:pt idx="18">
                  <c:v>131.31005899999991</c:v>
                </c:pt>
                <c:pt idx="19">
                  <c:v>69.429931000000124</c:v>
                </c:pt>
                <c:pt idx="20">
                  <c:v>59.630126999999902</c:v>
                </c:pt>
                <c:pt idx="21">
                  <c:v>41.719970999999987</c:v>
                </c:pt>
                <c:pt idx="22">
                  <c:v>127.97998000000007</c:v>
                </c:pt>
                <c:pt idx="23">
                  <c:v>58.319824000000153</c:v>
                </c:pt>
                <c:pt idx="24">
                  <c:v>66.350097999999889</c:v>
                </c:pt>
                <c:pt idx="25">
                  <c:v>53.540038999999979</c:v>
                </c:pt>
                <c:pt idx="26">
                  <c:v>48.439941999999974</c:v>
                </c:pt>
                <c:pt idx="27">
                  <c:v>46.379883000000063</c:v>
                </c:pt>
                <c:pt idx="28">
                  <c:v>56.139893000000029</c:v>
                </c:pt>
                <c:pt idx="29">
                  <c:v>67.869873000000098</c:v>
                </c:pt>
                <c:pt idx="30">
                  <c:v>57.409912000000077</c:v>
                </c:pt>
                <c:pt idx="31">
                  <c:v>47.380126999999902</c:v>
                </c:pt>
                <c:pt idx="32">
                  <c:v>49</c:v>
                </c:pt>
                <c:pt idx="33">
                  <c:v>104.80004899999994</c:v>
                </c:pt>
                <c:pt idx="34">
                  <c:v>58.979980999999952</c:v>
                </c:pt>
                <c:pt idx="35">
                  <c:v>38.75</c:v>
                </c:pt>
                <c:pt idx="36">
                  <c:v>120.73999099999992</c:v>
                </c:pt>
                <c:pt idx="37">
                  <c:v>55.129883000000063</c:v>
                </c:pt>
                <c:pt idx="38">
                  <c:v>139.43994199999997</c:v>
                </c:pt>
                <c:pt idx="39">
                  <c:v>72.989990999999918</c:v>
                </c:pt>
                <c:pt idx="40">
                  <c:v>52.43994100000009</c:v>
                </c:pt>
                <c:pt idx="41">
                  <c:v>115.22998099999995</c:v>
                </c:pt>
                <c:pt idx="42">
                  <c:v>66.610106999999971</c:v>
                </c:pt>
                <c:pt idx="43">
                  <c:v>125.37988300000006</c:v>
                </c:pt>
                <c:pt idx="44">
                  <c:v>69.25</c:v>
                </c:pt>
                <c:pt idx="45">
                  <c:v>74.290038999999979</c:v>
                </c:pt>
                <c:pt idx="46">
                  <c:v>61</c:v>
                </c:pt>
                <c:pt idx="47">
                  <c:v>40.159912000000077</c:v>
                </c:pt>
                <c:pt idx="48">
                  <c:v>63.949951000000056</c:v>
                </c:pt>
                <c:pt idx="49">
                  <c:v>43.93994100000009</c:v>
                </c:pt>
                <c:pt idx="50">
                  <c:v>46.93994100000009</c:v>
                </c:pt>
                <c:pt idx="51">
                  <c:v>54.709961000000021</c:v>
                </c:pt>
                <c:pt idx="52">
                  <c:v>61.409912000000077</c:v>
                </c:pt>
                <c:pt idx="53">
                  <c:v>64.06005899999991</c:v>
                </c:pt>
                <c:pt idx="54">
                  <c:v>87.75</c:v>
                </c:pt>
                <c:pt idx="55">
                  <c:v>60.060058000000026</c:v>
                </c:pt>
                <c:pt idx="56">
                  <c:v>111.12988200000018</c:v>
                </c:pt>
                <c:pt idx="57">
                  <c:v>45.850097000000005</c:v>
                </c:pt>
                <c:pt idx="58">
                  <c:v>130.5</c:v>
                </c:pt>
                <c:pt idx="59">
                  <c:v>85.739990000000034</c:v>
                </c:pt>
                <c:pt idx="60">
                  <c:v>51.570068999999876</c:v>
                </c:pt>
                <c:pt idx="61">
                  <c:v>76.399902999999995</c:v>
                </c:pt>
                <c:pt idx="62">
                  <c:v>112.78002900000001</c:v>
                </c:pt>
                <c:pt idx="63">
                  <c:v>112.69995100000006</c:v>
                </c:pt>
                <c:pt idx="64">
                  <c:v>128</c:v>
                </c:pt>
                <c:pt idx="65">
                  <c:v>113.28002900000001</c:v>
                </c:pt>
                <c:pt idx="66">
                  <c:v>85.81005899999991</c:v>
                </c:pt>
                <c:pt idx="67">
                  <c:v>86.409912000000077</c:v>
                </c:pt>
                <c:pt idx="68">
                  <c:v>48.850097000000005</c:v>
                </c:pt>
                <c:pt idx="69">
                  <c:v>53.479980000000069</c:v>
                </c:pt>
                <c:pt idx="70">
                  <c:v>50.149902000000111</c:v>
                </c:pt>
                <c:pt idx="71">
                  <c:v>53.049805000000106</c:v>
                </c:pt>
                <c:pt idx="72">
                  <c:v>102.83007799999996</c:v>
                </c:pt>
                <c:pt idx="73">
                  <c:v>91.629883000000063</c:v>
                </c:pt>
                <c:pt idx="74">
                  <c:v>60.660155999999915</c:v>
                </c:pt>
                <c:pt idx="75">
                  <c:v>66.530029000000013</c:v>
                </c:pt>
                <c:pt idx="76">
                  <c:v>61.149902000000111</c:v>
                </c:pt>
                <c:pt idx="77">
                  <c:v>75.160156999999799</c:v>
                </c:pt>
                <c:pt idx="78">
                  <c:v>72.640135999999984</c:v>
                </c:pt>
                <c:pt idx="79">
                  <c:v>60.659912000000077</c:v>
                </c:pt>
                <c:pt idx="80">
                  <c:v>62.800048999999944</c:v>
                </c:pt>
                <c:pt idx="81">
                  <c:v>39</c:v>
                </c:pt>
                <c:pt idx="82">
                  <c:v>56.830077999999958</c:v>
                </c:pt>
                <c:pt idx="83">
                  <c:v>46.889892000000145</c:v>
                </c:pt>
                <c:pt idx="84">
                  <c:v>74.719970999999987</c:v>
                </c:pt>
                <c:pt idx="85">
                  <c:v>30.270019999999931</c:v>
                </c:pt>
                <c:pt idx="86">
                  <c:v>79.96020499999986</c:v>
                </c:pt>
                <c:pt idx="87">
                  <c:v>32.5</c:v>
                </c:pt>
                <c:pt idx="88">
                  <c:v>83.300048999999944</c:v>
                </c:pt>
                <c:pt idx="89">
                  <c:v>43.890136999999868</c:v>
                </c:pt>
                <c:pt idx="90">
                  <c:v>36.370116999999937</c:v>
                </c:pt>
                <c:pt idx="91">
                  <c:v>78.129883000000063</c:v>
                </c:pt>
                <c:pt idx="92">
                  <c:v>45</c:v>
                </c:pt>
                <c:pt idx="93">
                  <c:v>51.209961000000021</c:v>
                </c:pt>
                <c:pt idx="94">
                  <c:v>75.770019999999931</c:v>
                </c:pt>
                <c:pt idx="95">
                  <c:v>66.989990000000034</c:v>
                </c:pt>
                <c:pt idx="96">
                  <c:v>59.050048000000061</c:v>
                </c:pt>
                <c:pt idx="97">
                  <c:v>71.420165999999881</c:v>
                </c:pt>
                <c:pt idx="98">
                  <c:v>66.5</c:v>
                </c:pt>
                <c:pt idx="99">
                  <c:v>97.510009999999966</c:v>
                </c:pt>
                <c:pt idx="100">
                  <c:v>61.989990000000034</c:v>
                </c:pt>
                <c:pt idx="101">
                  <c:v>64.879883000000063</c:v>
                </c:pt>
                <c:pt idx="102">
                  <c:v>79.449951000000056</c:v>
                </c:pt>
                <c:pt idx="103">
                  <c:v>91.5</c:v>
                </c:pt>
                <c:pt idx="104">
                  <c:v>113.94995100000006</c:v>
                </c:pt>
                <c:pt idx="105">
                  <c:v>95.850097000000005</c:v>
                </c:pt>
                <c:pt idx="106">
                  <c:v>90.339844000000085</c:v>
                </c:pt>
                <c:pt idx="107">
                  <c:v>67.199951000000056</c:v>
                </c:pt>
                <c:pt idx="108">
                  <c:v>41.819825000000037</c:v>
                </c:pt>
                <c:pt idx="109">
                  <c:v>93</c:v>
                </c:pt>
                <c:pt idx="110">
                  <c:v>110.62988300000006</c:v>
                </c:pt>
                <c:pt idx="111">
                  <c:v>74.839843000000201</c:v>
                </c:pt>
                <c:pt idx="112">
                  <c:v>70.840087999999923</c:v>
                </c:pt>
                <c:pt idx="113">
                  <c:v>45.860106999999971</c:v>
                </c:pt>
                <c:pt idx="114">
                  <c:v>58.159912000000077</c:v>
                </c:pt>
                <c:pt idx="115">
                  <c:v>81.629883000000063</c:v>
                </c:pt>
                <c:pt idx="116">
                  <c:v>50.75</c:v>
                </c:pt>
                <c:pt idx="117">
                  <c:v>23.5</c:v>
                </c:pt>
                <c:pt idx="118">
                  <c:v>59.679931000000124</c:v>
                </c:pt>
                <c:pt idx="119">
                  <c:v>47.449951000000056</c:v>
                </c:pt>
                <c:pt idx="120">
                  <c:v>66.060058000000026</c:v>
                </c:pt>
                <c:pt idx="121">
                  <c:v>37.219970000000103</c:v>
                </c:pt>
                <c:pt idx="122">
                  <c:v>30.320067999999992</c:v>
                </c:pt>
                <c:pt idx="123">
                  <c:v>28.290038999999979</c:v>
                </c:pt>
                <c:pt idx="124">
                  <c:v>41.919921000000159</c:v>
                </c:pt>
                <c:pt idx="125">
                  <c:v>27</c:v>
                </c:pt>
                <c:pt idx="126">
                  <c:v>30.409912000000077</c:v>
                </c:pt>
                <c:pt idx="127">
                  <c:v>22.18994100000009</c:v>
                </c:pt>
                <c:pt idx="128">
                  <c:v>35.800048999999944</c:v>
                </c:pt>
                <c:pt idx="129">
                  <c:v>61.520019000000048</c:v>
                </c:pt>
                <c:pt idx="130">
                  <c:v>26.880126999999902</c:v>
                </c:pt>
                <c:pt idx="131">
                  <c:v>69.850097999999889</c:v>
                </c:pt>
                <c:pt idx="132">
                  <c:v>33.130126999999902</c:v>
                </c:pt>
                <c:pt idx="133">
                  <c:v>49.5</c:v>
                </c:pt>
                <c:pt idx="134">
                  <c:v>33.879883000000063</c:v>
                </c:pt>
                <c:pt idx="135">
                  <c:v>65.820068999999876</c:v>
                </c:pt>
                <c:pt idx="136">
                  <c:v>96.199951000000056</c:v>
                </c:pt>
                <c:pt idx="137">
                  <c:v>33.290038999999979</c:v>
                </c:pt>
                <c:pt idx="138">
                  <c:v>48</c:v>
                </c:pt>
                <c:pt idx="139">
                  <c:v>67.68994100000009</c:v>
                </c:pt>
                <c:pt idx="140">
                  <c:v>37.800048999999944</c:v>
                </c:pt>
                <c:pt idx="141">
                  <c:v>94.010009000000082</c:v>
                </c:pt>
                <c:pt idx="142">
                  <c:v>70.640135999999984</c:v>
                </c:pt>
                <c:pt idx="143">
                  <c:v>34.489990000000034</c:v>
                </c:pt>
                <c:pt idx="144">
                  <c:v>33</c:v>
                </c:pt>
                <c:pt idx="145">
                  <c:v>36.600097999999889</c:v>
                </c:pt>
                <c:pt idx="146">
                  <c:v>47.580077999999958</c:v>
                </c:pt>
                <c:pt idx="147">
                  <c:v>74.800048999999944</c:v>
                </c:pt>
                <c:pt idx="148">
                  <c:v>156.47998000000007</c:v>
                </c:pt>
                <c:pt idx="149">
                  <c:v>55.290038999999979</c:v>
                </c:pt>
                <c:pt idx="150">
                  <c:v>138.8698730000001</c:v>
                </c:pt>
                <c:pt idx="151">
                  <c:v>54.600097999999889</c:v>
                </c:pt>
                <c:pt idx="152">
                  <c:v>60.5</c:v>
                </c:pt>
                <c:pt idx="153">
                  <c:v>101.76000999999997</c:v>
                </c:pt>
                <c:pt idx="154">
                  <c:v>56.829834000000119</c:v>
                </c:pt>
                <c:pt idx="155">
                  <c:v>74.479980000000069</c:v>
                </c:pt>
                <c:pt idx="156">
                  <c:v>75.600097999999889</c:v>
                </c:pt>
                <c:pt idx="157">
                  <c:v>51.050048999999944</c:v>
                </c:pt>
                <c:pt idx="158">
                  <c:v>74</c:v>
                </c:pt>
                <c:pt idx="159">
                  <c:v>42.810058000000026</c:v>
                </c:pt>
                <c:pt idx="160">
                  <c:v>57.75</c:v>
                </c:pt>
                <c:pt idx="161">
                  <c:v>44.070067999999992</c:v>
                </c:pt>
                <c:pt idx="162">
                  <c:v>64.830077999999958</c:v>
                </c:pt>
                <c:pt idx="163">
                  <c:v>112.35009799999989</c:v>
                </c:pt>
                <c:pt idx="164">
                  <c:v>57.419922000000042</c:v>
                </c:pt>
                <c:pt idx="165">
                  <c:v>57.93994100000009</c:v>
                </c:pt>
                <c:pt idx="166">
                  <c:v>61.15991299999996</c:v>
                </c:pt>
                <c:pt idx="167">
                  <c:v>41.919922000000042</c:v>
                </c:pt>
                <c:pt idx="168">
                  <c:v>91.229980000000069</c:v>
                </c:pt>
                <c:pt idx="169">
                  <c:v>43.319824000000153</c:v>
                </c:pt>
                <c:pt idx="170">
                  <c:v>48.080077999999958</c:v>
                </c:pt>
                <c:pt idx="171">
                  <c:v>45.959961000000021</c:v>
                </c:pt>
                <c:pt idx="172">
                  <c:v>26.359863000000132</c:v>
                </c:pt>
                <c:pt idx="173">
                  <c:v>43</c:v>
                </c:pt>
                <c:pt idx="174">
                  <c:v>59.909912000000077</c:v>
                </c:pt>
                <c:pt idx="175">
                  <c:v>44.840087999999923</c:v>
                </c:pt>
                <c:pt idx="176">
                  <c:v>23.070067999999992</c:v>
                </c:pt>
                <c:pt idx="177">
                  <c:v>88.870116999999937</c:v>
                </c:pt>
                <c:pt idx="178">
                  <c:v>54.810058000000026</c:v>
                </c:pt>
                <c:pt idx="179">
                  <c:v>54.100097999999889</c:v>
                </c:pt>
                <c:pt idx="180">
                  <c:v>50.540038999999979</c:v>
                </c:pt>
                <c:pt idx="181">
                  <c:v>32.050048999999944</c:v>
                </c:pt>
                <c:pt idx="182">
                  <c:v>70.889892000000145</c:v>
                </c:pt>
                <c:pt idx="183">
                  <c:v>40.909912000000077</c:v>
                </c:pt>
                <c:pt idx="184">
                  <c:v>34.850097999999889</c:v>
                </c:pt>
                <c:pt idx="185">
                  <c:v>36</c:v>
                </c:pt>
                <c:pt idx="186">
                  <c:v>38.570067999999992</c:v>
                </c:pt>
                <c:pt idx="187">
                  <c:v>89.780029000000013</c:v>
                </c:pt>
                <c:pt idx="188">
                  <c:v>76.989990000000034</c:v>
                </c:pt>
                <c:pt idx="189">
                  <c:v>51.760009999999966</c:v>
                </c:pt>
                <c:pt idx="190">
                  <c:v>56.959961000000021</c:v>
                </c:pt>
                <c:pt idx="191">
                  <c:v>46.229980999999952</c:v>
                </c:pt>
                <c:pt idx="192">
                  <c:v>51.150146999999833</c:v>
                </c:pt>
                <c:pt idx="193">
                  <c:v>49.959961000000021</c:v>
                </c:pt>
                <c:pt idx="194">
                  <c:v>69.619873000000098</c:v>
                </c:pt>
                <c:pt idx="195">
                  <c:v>45.540038999999979</c:v>
                </c:pt>
                <c:pt idx="196">
                  <c:v>59.959961000000021</c:v>
                </c:pt>
                <c:pt idx="197">
                  <c:v>49.100097999999889</c:v>
                </c:pt>
                <c:pt idx="198">
                  <c:v>83.409912000000077</c:v>
                </c:pt>
                <c:pt idx="199">
                  <c:v>46.410155999999915</c:v>
                </c:pt>
                <c:pt idx="200">
                  <c:v>45.280029000000013</c:v>
                </c:pt>
                <c:pt idx="201">
                  <c:v>113.98999000000003</c:v>
                </c:pt>
                <c:pt idx="202">
                  <c:v>47.310058000000026</c:v>
                </c:pt>
                <c:pt idx="203">
                  <c:v>47.949951000000056</c:v>
                </c:pt>
                <c:pt idx="204">
                  <c:v>48.909912000000077</c:v>
                </c:pt>
                <c:pt idx="205">
                  <c:v>35.860107999999855</c:v>
                </c:pt>
                <c:pt idx="206">
                  <c:v>75.959961000000021</c:v>
                </c:pt>
                <c:pt idx="207">
                  <c:v>79.089843000000201</c:v>
                </c:pt>
                <c:pt idx="208">
                  <c:v>53.429932000000008</c:v>
                </c:pt>
                <c:pt idx="209">
                  <c:v>53.860107999999855</c:v>
                </c:pt>
                <c:pt idx="210">
                  <c:v>53.229980999999952</c:v>
                </c:pt>
                <c:pt idx="211">
                  <c:v>103.73999000000003</c:v>
                </c:pt>
                <c:pt idx="212">
                  <c:v>58.270019000000048</c:v>
                </c:pt>
                <c:pt idx="213">
                  <c:v>65.719970999999987</c:v>
                </c:pt>
                <c:pt idx="214">
                  <c:v>42.68994100000009</c:v>
                </c:pt>
                <c:pt idx="215">
                  <c:v>33.229980999999952</c:v>
                </c:pt>
                <c:pt idx="216">
                  <c:v>54.489990000000034</c:v>
                </c:pt>
                <c:pt idx="217">
                  <c:v>31.25</c:v>
                </c:pt>
                <c:pt idx="218">
                  <c:v>27.28979500000014</c:v>
                </c:pt>
                <c:pt idx="219">
                  <c:v>21.820068999999876</c:v>
                </c:pt>
                <c:pt idx="220">
                  <c:v>106.41992200000004</c:v>
                </c:pt>
                <c:pt idx="221">
                  <c:v>64.069824000000153</c:v>
                </c:pt>
                <c:pt idx="222">
                  <c:v>32.68994100000009</c:v>
                </c:pt>
                <c:pt idx="223">
                  <c:v>62.489990000000034</c:v>
                </c:pt>
                <c:pt idx="224">
                  <c:v>37.280029000000013</c:v>
                </c:pt>
                <c:pt idx="225">
                  <c:v>98.540038999999979</c:v>
                </c:pt>
                <c:pt idx="226">
                  <c:v>50.100097999999889</c:v>
                </c:pt>
                <c:pt idx="227">
                  <c:v>72.140136999999868</c:v>
                </c:pt>
                <c:pt idx="228">
                  <c:v>65.550048999999944</c:v>
                </c:pt>
                <c:pt idx="229">
                  <c:v>93</c:v>
                </c:pt>
                <c:pt idx="230">
                  <c:v>101.5</c:v>
                </c:pt>
                <c:pt idx="231">
                  <c:v>83.84008700000004</c:v>
                </c:pt>
                <c:pt idx="232">
                  <c:v>47.570067999999992</c:v>
                </c:pt>
                <c:pt idx="233">
                  <c:v>97.399902000000111</c:v>
                </c:pt>
                <c:pt idx="234">
                  <c:v>133.62988300000006</c:v>
                </c:pt>
                <c:pt idx="235">
                  <c:v>89.270019999999931</c:v>
                </c:pt>
                <c:pt idx="236">
                  <c:v>91.139893000000029</c:v>
                </c:pt>
                <c:pt idx="237">
                  <c:v>92.340087999999923</c:v>
                </c:pt>
                <c:pt idx="238">
                  <c:v>142.35986300000013</c:v>
                </c:pt>
                <c:pt idx="239">
                  <c:v>75.770019000000048</c:v>
                </c:pt>
                <c:pt idx="240">
                  <c:v>93.679931000000124</c:v>
                </c:pt>
                <c:pt idx="241">
                  <c:v>68.069824000000153</c:v>
                </c:pt>
                <c:pt idx="242">
                  <c:v>51.350097999999889</c:v>
                </c:pt>
                <c:pt idx="243">
                  <c:v>41.899902000000111</c:v>
                </c:pt>
                <c:pt idx="244">
                  <c:v>143.19995100000006</c:v>
                </c:pt>
                <c:pt idx="245">
                  <c:v>86.429931000000124</c:v>
                </c:pt>
                <c:pt idx="246">
                  <c:v>145.95996100000002</c:v>
                </c:pt>
                <c:pt idx="247">
                  <c:v>93.340087999999923</c:v>
                </c:pt>
                <c:pt idx="248">
                  <c:v>76.78979500000014</c:v>
                </c:pt>
                <c:pt idx="249">
                  <c:v>129.35009799999989</c:v>
                </c:pt>
                <c:pt idx="250">
                  <c:v>64.5</c:v>
                </c:pt>
                <c:pt idx="251">
                  <c:v>93.760009999999966</c:v>
                </c:pt>
              </c:numCache>
            </c:numRef>
          </c:val>
          <c:smooth val="1"/>
          <c:extLst>
            <c:ext xmlns:c16="http://schemas.microsoft.com/office/drawing/2014/chart" uri="{C3380CC4-5D6E-409C-BE32-E72D297353CC}">
              <c16:uniqueId val="{00000000-063A-AB48-B0F4-BD23FA1D67F8}"/>
            </c:ext>
          </c:extLst>
        </c:ser>
        <c:dLbls>
          <c:showLegendKey val="0"/>
          <c:showVal val="0"/>
          <c:showCatName val="0"/>
          <c:showSerName val="0"/>
          <c:showPercent val="0"/>
          <c:showBubbleSize val="0"/>
        </c:dLbls>
        <c:marker val="1"/>
        <c:smooth val="0"/>
        <c:axId val="255365951"/>
        <c:axId val="255361919"/>
      </c:lineChart>
      <c:lineChart>
        <c:grouping val="standard"/>
        <c:varyColors val="0"/>
        <c:ser>
          <c:idx val="0"/>
          <c:order val="0"/>
          <c:tx>
            <c:strRef>
              <c:f>Amazon_stock!$H$1</c:f>
              <c:strCache>
                <c:ptCount val="1"/>
                <c:pt idx="0">
                  <c:v>Volume (millions)</c:v>
                </c:pt>
              </c:strCache>
            </c:strRef>
          </c:tx>
          <c:spPr>
            <a:ln w="28575" cap="rnd">
              <a:solidFill>
                <a:schemeClr val="accent1"/>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Amazon_stock!$H$2:$H$253</c:f>
              <c:numCache>
                <c:formatCode>General</c:formatCode>
                <c:ptCount val="252"/>
                <c:pt idx="0">
                  <c:v>4.5369999999999999</c:v>
                </c:pt>
                <c:pt idx="1">
                  <c:v>3.1293000000000002</c:v>
                </c:pt>
                <c:pt idx="2">
                  <c:v>2.8919999999999999</c:v>
                </c:pt>
                <c:pt idx="3">
                  <c:v>2.9136000000000002</c:v>
                </c:pt>
                <c:pt idx="4">
                  <c:v>2.7513000000000001</c:v>
                </c:pt>
                <c:pt idx="5">
                  <c:v>3.2863000000000002</c:v>
                </c:pt>
                <c:pt idx="6">
                  <c:v>4.1007999999999996</c:v>
                </c:pt>
                <c:pt idx="7">
                  <c:v>3.0301999999999998</c:v>
                </c:pt>
                <c:pt idx="8">
                  <c:v>3.0647000000000002</c:v>
                </c:pt>
                <c:pt idx="9">
                  <c:v>4.1558000000000002</c:v>
                </c:pt>
                <c:pt idx="10">
                  <c:v>3.3195000000000001</c:v>
                </c:pt>
                <c:pt idx="11">
                  <c:v>4.4276</c:v>
                </c:pt>
                <c:pt idx="12">
                  <c:v>3.4742999999999999</c:v>
                </c:pt>
                <c:pt idx="13">
                  <c:v>5.9957000000000003</c:v>
                </c:pt>
                <c:pt idx="14">
                  <c:v>3.8368000000000002</c:v>
                </c:pt>
                <c:pt idx="15">
                  <c:v>2.3694000000000002</c:v>
                </c:pt>
                <c:pt idx="16">
                  <c:v>2.0937999999999999</c:v>
                </c:pt>
                <c:pt idx="17">
                  <c:v>1.4519</c:v>
                </c:pt>
                <c:pt idx="18">
                  <c:v>5.6867999999999999</c:v>
                </c:pt>
                <c:pt idx="19">
                  <c:v>4.8728999999999996</c:v>
                </c:pt>
                <c:pt idx="20">
                  <c:v>3.2092999999999998</c:v>
                </c:pt>
                <c:pt idx="21">
                  <c:v>2.9571999999999998</c:v>
                </c:pt>
                <c:pt idx="22">
                  <c:v>4.4114000000000004</c:v>
                </c:pt>
                <c:pt idx="23">
                  <c:v>2.6555</c:v>
                </c:pt>
                <c:pt idx="24">
                  <c:v>4.3948</c:v>
                </c:pt>
                <c:pt idx="25">
                  <c:v>3.5145</c:v>
                </c:pt>
                <c:pt idx="26">
                  <c:v>3.5377000000000001</c:v>
                </c:pt>
                <c:pt idx="27">
                  <c:v>3.6833999999999998</c:v>
                </c:pt>
                <c:pt idx="28">
                  <c:v>3.5146000000000002</c:v>
                </c:pt>
                <c:pt idx="29">
                  <c:v>3.3212000000000002</c:v>
                </c:pt>
                <c:pt idx="30">
                  <c:v>3.0709</c:v>
                </c:pt>
                <c:pt idx="31">
                  <c:v>4.2439999999999998</c:v>
                </c:pt>
                <c:pt idx="32">
                  <c:v>3.3050999999999999</c:v>
                </c:pt>
                <c:pt idx="33">
                  <c:v>5.3098000000000001</c:v>
                </c:pt>
                <c:pt idx="34">
                  <c:v>4.9360999999999997</c:v>
                </c:pt>
                <c:pt idx="35">
                  <c:v>2.8218999999999999</c:v>
                </c:pt>
                <c:pt idx="36">
                  <c:v>3.7498</c:v>
                </c:pt>
                <c:pt idx="37">
                  <c:v>2.9552</c:v>
                </c:pt>
                <c:pt idx="38">
                  <c:v>4.6601999999999997</c:v>
                </c:pt>
                <c:pt idx="39">
                  <c:v>3.1492</c:v>
                </c:pt>
                <c:pt idx="40">
                  <c:v>4.2935999999999996</c:v>
                </c:pt>
                <c:pt idx="41">
                  <c:v>4.1601999999999997</c:v>
                </c:pt>
                <c:pt idx="42">
                  <c:v>7.0986000000000002</c:v>
                </c:pt>
                <c:pt idx="43">
                  <c:v>7.0888</c:v>
                </c:pt>
                <c:pt idx="44">
                  <c:v>3.6707000000000001</c:v>
                </c:pt>
                <c:pt idx="45">
                  <c:v>3.6208</c:v>
                </c:pt>
                <c:pt idx="46">
                  <c:v>3.2574000000000001</c:v>
                </c:pt>
                <c:pt idx="47">
                  <c:v>2.2035</c:v>
                </c:pt>
                <c:pt idx="48">
                  <c:v>3.1516000000000002</c:v>
                </c:pt>
                <c:pt idx="49">
                  <c:v>2.3014000000000001</c:v>
                </c:pt>
                <c:pt idx="50">
                  <c:v>2.3353000000000002</c:v>
                </c:pt>
                <c:pt idx="51">
                  <c:v>2.5747</c:v>
                </c:pt>
                <c:pt idx="52">
                  <c:v>3.2974999999999999</c:v>
                </c:pt>
                <c:pt idx="53">
                  <c:v>3.0274000000000001</c:v>
                </c:pt>
                <c:pt idx="54">
                  <c:v>4.3052000000000001</c:v>
                </c:pt>
                <c:pt idx="55">
                  <c:v>3.5156999999999998</c:v>
                </c:pt>
                <c:pt idx="56">
                  <c:v>4.6772</c:v>
                </c:pt>
                <c:pt idx="57">
                  <c:v>3.0112999999999999</c:v>
                </c:pt>
                <c:pt idx="58">
                  <c:v>4.5338000000000003</c:v>
                </c:pt>
                <c:pt idx="59">
                  <c:v>4.2759</c:v>
                </c:pt>
                <c:pt idx="60">
                  <c:v>2.7290999999999999</c:v>
                </c:pt>
                <c:pt idx="61">
                  <c:v>2.5958000000000001</c:v>
                </c:pt>
                <c:pt idx="62">
                  <c:v>3.9887000000000001</c:v>
                </c:pt>
                <c:pt idx="63">
                  <c:v>5.4816000000000003</c:v>
                </c:pt>
                <c:pt idx="64">
                  <c:v>5.3886000000000003</c:v>
                </c:pt>
                <c:pt idx="65">
                  <c:v>4.1849999999999996</c:v>
                </c:pt>
                <c:pt idx="66">
                  <c:v>4.03</c:v>
                </c:pt>
                <c:pt idx="67">
                  <c:v>3.0125000000000002</c:v>
                </c:pt>
                <c:pt idx="68">
                  <c:v>2.7764000000000002</c:v>
                </c:pt>
                <c:pt idx="69">
                  <c:v>2.4218999999999999</c:v>
                </c:pt>
                <c:pt idx="70">
                  <c:v>2.9136000000000002</c:v>
                </c:pt>
                <c:pt idx="71">
                  <c:v>2.5388000000000002</c:v>
                </c:pt>
                <c:pt idx="72">
                  <c:v>3.1185999999999998</c:v>
                </c:pt>
                <c:pt idx="73">
                  <c:v>3.6496</c:v>
                </c:pt>
                <c:pt idx="74">
                  <c:v>4.6254</c:v>
                </c:pt>
                <c:pt idx="75">
                  <c:v>2.9022000000000001</c:v>
                </c:pt>
                <c:pt idx="76">
                  <c:v>3.8172999999999999</c:v>
                </c:pt>
                <c:pt idx="77">
                  <c:v>2.9590000000000001</c:v>
                </c:pt>
                <c:pt idx="78">
                  <c:v>3.5634999999999999</c:v>
                </c:pt>
                <c:pt idx="79">
                  <c:v>3.3129</c:v>
                </c:pt>
                <c:pt idx="80">
                  <c:v>2.746</c:v>
                </c:pt>
                <c:pt idx="81">
                  <c:v>2.3376000000000001</c:v>
                </c:pt>
                <c:pt idx="82">
                  <c:v>3.0939000000000001</c:v>
                </c:pt>
                <c:pt idx="83">
                  <c:v>2.9403000000000001</c:v>
                </c:pt>
                <c:pt idx="84">
                  <c:v>3.3349000000000002</c:v>
                </c:pt>
                <c:pt idx="85">
                  <c:v>2.5377999999999998</c:v>
                </c:pt>
                <c:pt idx="86">
                  <c:v>3.3462000000000001</c:v>
                </c:pt>
                <c:pt idx="87">
                  <c:v>2.8121</c:v>
                </c:pt>
                <c:pt idx="88">
                  <c:v>4.3414999999999999</c:v>
                </c:pt>
                <c:pt idx="89">
                  <c:v>3.2818000000000001</c:v>
                </c:pt>
                <c:pt idx="90">
                  <c:v>3.3157999999999999</c:v>
                </c:pt>
                <c:pt idx="91">
                  <c:v>3.1452</c:v>
                </c:pt>
                <c:pt idx="92">
                  <c:v>3.2336</c:v>
                </c:pt>
                <c:pt idx="93">
                  <c:v>3.1859999999999999</c:v>
                </c:pt>
                <c:pt idx="94">
                  <c:v>2.7254</c:v>
                </c:pt>
                <c:pt idx="95">
                  <c:v>2.6230000000000002</c:v>
                </c:pt>
                <c:pt idx="96">
                  <c:v>2.2111999999999998</c:v>
                </c:pt>
                <c:pt idx="97">
                  <c:v>2.5806</c:v>
                </c:pt>
                <c:pt idx="98">
                  <c:v>3.1928000000000001</c:v>
                </c:pt>
                <c:pt idx="99">
                  <c:v>4.8807</c:v>
                </c:pt>
                <c:pt idx="100">
                  <c:v>3.8271000000000002</c:v>
                </c:pt>
                <c:pt idx="101">
                  <c:v>4.6318999999999999</c:v>
                </c:pt>
                <c:pt idx="102">
                  <c:v>7.6824000000000003</c:v>
                </c:pt>
                <c:pt idx="103">
                  <c:v>7.0092999999999996</c:v>
                </c:pt>
                <c:pt idx="104">
                  <c:v>5.8754999999999997</c:v>
                </c:pt>
                <c:pt idx="105">
                  <c:v>5.4394</c:v>
                </c:pt>
                <c:pt idx="106">
                  <c:v>3.7113</c:v>
                </c:pt>
                <c:pt idx="107">
                  <c:v>4.4477000000000002</c:v>
                </c:pt>
                <c:pt idx="108">
                  <c:v>4.7103000000000002</c:v>
                </c:pt>
                <c:pt idx="109">
                  <c:v>5.8385999999999996</c:v>
                </c:pt>
                <c:pt idx="110">
                  <c:v>4.6197999999999997</c:v>
                </c:pt>
                <c:pt idx="111">
                  <c:v>4.9363999999999999</c:v>
                </c:pt>
                <c:pt idx="112">
                  <c:v>3.3509000000000002</c:v>
                </c:pt>
                <c:pt idx="113">
                  <c:v>3.3250000000000002</c:v>
                </c:pt>
                <c:pt idx="114">
                  <c:v>3.7239</c:v>
                </c:pt>
                <c:pt idx="115">
                  <c:v>2.8283999999999998</c:v>
                </c:pt>
                <c:pt idx="116">
                  <c:v>2.6797</c:v>
                </c:pt>
                <c:pt idx="117">
                  <c:v>2.6332</c:v>
                </c:pt>
                <c:pt idx="118">
                  <c:v>4.1048999999999998</c:v>
                </c:pt>
                <c:pt idx="119">
                  <c:v>2.4228000000000001</c:v>
                </c:pt>
                <c:pt idx="120">
                  <c:v>3.2610999999999999</c:v>
                </c:pt>
                <c:pt idx="121">
                  <c:v>2.3839999999999999</c:v>
                </c:pt>
                <c:pt idx="122">
                  <c:v>2.5611999999999999</c:v>
                </c:pt>
                <c:pt idx="123">
                  <c:v>2.3298000000000001</c:v>
                </c:pt>
                <c:pt idx="124">
                  <c:v>2.4300000000000002</c:v>
                </c:pt>
                <c:pt idx="125">
                  <c:v>2.0145</c:v>
                </c:pt>
                <c:pt idx="126">
                  <c:v>2.3982999999999999</c:v>
                </c:pt>
                <c:pt idx="127">
                  <c:v>2.2496999999999998</c:v>
                </c:pt>
                <c:pt idx="128">
                  <c:v>2.2158000000000002</c:v>
                </c:pt>
                <c:pt idx="129">
                  <c:v>3.4167000000000001</c:v>
                </c:pt>
                <c:pt idx="130">
                  <c:v>2.4554999999999998</c:v>
                </c:pt>
                <c:pt idx="131">
                  <c:v>3.4765000000000001</c:v>
                </c:pt>
                <c:pt idx="132">
                  <c:v>2.8174000000000001</c:v>
                </c:pt>
                <c:pt idx="133">
                  <c:v>2.5697000000000001</c:v>
                </c:pt>
                <c:pt idx="134">
                  <c:v>2.4262000000000001</c:v>
                </c:pt>
                <c:pt idx="135">
                  <c:v>4.2027999999999999</c:v>
                </c:pt>
                <c:pt idx="136">
                  <c:v>5.1364999999999998</c:v>
                </c:pt>
                <c:pt idx="137">
                  <c:v>5.2477</c:v>
                </c:pt>
                <c:pt idx="138">
                  <c:v>3.2770999999999999</c:v>
                </c:pt>
                <c:pt idx="139">
                  <c:v>3.3451</c:v>
                </c:pt>
                <c:pt idx="140">
                  <c:v>2.8132999999999999</c:v>
                </c:pt>
                <c:pt idx="141">
                  <c:v>3.8319999999999999</c:v>
                </c:pt>
                <c:pt idx="142">
                  <c:v>3.9409999999999998</c:v>
                </c:pt>
                <c:pt idx="143">
                  <c:v>2.2427999999999999</c:v>
                </c:pt>
                <c:pt idx="144">
                  <c:v>2.0983999999999998</c:v>
                </c:pt>
                <c:pt idx="145">
                  <c:v>2.4039999999999999</c:v>
                </c:pt>
                <c:pt idx="146">
                  <c:v>2.0371000000000001</c:v>
                </c:pt>
                <c:pt idx="147">
                  <c:v>3.1694</c:v>
                </c:pt>
                <c:pt idx="148">
                  <c:v>6.7447999999999997</c:v>
                </c:pt>
                <c:pt idx="149">
                  <c:v>5.3281000000000001</c:v>
                </c:pt>
                <c:pt idx="150">
                  <c:v>5.1806000000000001</c:v>
                </c:pt>
                <c:pt idx="151">
                  <c:v>3.7482000000000002</c:v>
                </c:pt>
                <c:pt idx="152">
                  <c:v>2.5716000000000001</c:v>
                </c:pt>
                <c:pt idx="153">
                  <c:v>3.8458999999999999</c:v>
                </c:pt>
                <c:pt idx="154">
                  <c:v>3.2966000000000002</c:v>
                </c:pt>
                <c:pt idx="155">
                  <c:v>3.1852999999999998</c:v>
                </c:pt>
                <c:pt idx="156">
                  <c:v>4.0437000000000003</c:v>
                </c:pt>
                <c:pt idx="157">
                  <c:v>3.7846000000000002</c:v>
                </c:pt>
                <c:pt idx="158">
                  <c:v>3.2557</c:v>
                </c:pt>
                <c:pt idx="159">
                  <c:v>2.319</c:v>
                </c:pt>
                <c:pt idx="160">
                  <c:v>3.2654000000000001</c:v>
                </c:pt>
                <c:pt idx="161">
                  <c:v>2.4363000000000001</c:v>
                </c:pt>
                <c:pt idx="162">
                  <c:v>2.9001000000000001</c:v>
                </c:pt>
                <c:pt idx="163">
                  <c:v>4.1318999999999999</c:v>
                </c:pt>
                <c:pt idx="164">
                  <c:v>2.9994000000000001</c:v>
                </c:pt>
                <c:pt idx="165">
                  <c:v>5.52</c:v>
                </c:pt>
                <c:pt idx="166">
                  <c:v>9.9571000000000005</c:v>
                </c:pt>
                <c:pt idx="167">
                  <c:v>3.3538999999999999</c:v>
                </c:pt>
                <c:pt idx="168">
                  <c:v>4.1573000000000002</c:v>
                </c:pt>
                <c:pt idx="169">
                  <c:v>2.1839</c:v>
                </c:pt>
                <c:pt idx="170">
                  <c:v>2.4335</c:v>
                </c:pt>
                <c:pt idx="171">
                  <c:v>2.6353</c:v>
                </c:pt>
                <c:pt idx="172">
                  <c:v>2.1482000000000001</c:v>
                </c:pt>
                <c:pt idx="173">
                  <c:v>2.4125999999999999</c:v>
                </c:pt>
                <c:pt idx="174">
                  <c:v>2.9472</c:v>
                </c:pt>
                <c:pt idx="175">
                  <c:v>2.3140999999999998</c:v>
                </c:pt>
                <c:pt idx="176">
                  <c:v>2.0528</c:v>
                </c:pt>
                <c:pt idx="177">
                  <c:v>3.3197000000000001</c:v>
                </c:pt>
                <c:pt idx="178">
                  <c:v>3.3879000000000001</c:v>
                </c:pt>
                <c:pt idx="179">
                  <c:v>2.8043</c:v>
                </c:pt>
                <c:pt idx="180">
                  <c:v>3.7829000000000002</c:v>
                </c:pt>
                <c:pt idx="181">
                  <c:v>3.3412000000000002</c:v>
                </c:pt>
                <c:pt idx="182">
                  <c:v>3.2681</c:v>
                </c:pt>
                <c:pt idx="183">
                  <c:v>2.5518000000000001</c:v>
                </c:pt>
                <c:pt idx="184">
                  <c:v>1.6802999999999999</c:v>
                </c:pt>
                <c:pt idx="185">
                  <c:v>2.0988000000000002</c:v>
                </c:pt>
                <c:pt idx="186">
                  <c:v>2.3913000000000002</c:v>
                </c:pt>
                <c:pt idx="187">
                  <c:v>3.1922000000000001</c:v>
                </c:pt>
                <c:pt idx="188">
                  <c:v>4.3563999999999998</c:v>
                </c:pt>
                <c:pt idx="189">
                  <c:v>3.6299000000000001</c:v>
                </c:pt>
                <c:pt idx="190">
                  <c:v>2.9237000000000002</c:v>
                </c:pt>
                <c:pt idx="191">
                  <c:v>2.5756999999999999</c:v>
                </c:pt>
                <c:pt idx="192">
                  <c:v>2.7378999999999998</c:v>
                </c:pt>
                <c:pt idx="193">
                  <c:v>3.0533999999999999</c:v>
                </c:pt>
                <c:pt idx="194">
                  <c:v>2.7191999999999998</c:v>
                </c:pt>
                <c:pt idx="195">
                  <c:v>2.3933</c:v>
                </c:pt>
                <c:pt idx="196">
                  <c:v>2.569</c:v>
                </c:pt>
                <c:pt idx="197">
                  <c:v>1.9369000000000001</c:v>
                </c:pt>
                <c:pt idx="198">
                  <c:v>2.9575</c:v>
                </c:pt>
                <c:pt idx="199">
                  <c:v>2.5836000000000001</c:v>
                </c:pt>
                <c:pt idx="200">
                  <c:v>4.6166</c:v>
                </c:pt>
                <c:pt idx="201">
                  <c:v>4.6691000000000003</c:v>
                </c:pt>
                <c:pt idx="202">
                  <c:v>2.7808999999999999</c:v>
                </c:pt>
                <c:pt idx="203">
                  <c:v>2.4114</c:v>
                </c:pt>
                <c:pt idx="204">
                  <c:v>2.3794</c:v>
                </c:pt>
                <c:pt idx="205">
                  <c:v>2.1162000000000001</c:v>
                </c:pt>
                <c:pt idx="206">
                  <c:v>3.6345000000000001</c:v>
                </c:pt>
                <c:pt idx="207">
                  <c:v>4.4307999999999996</c:v>
                </c:pt>
                <c:pt idx="208">
                  <c:v>2.5623</c:v>
                </c:pt>
                <c:pt idx="209">
                  <c:v>2.8424</c:v>
                </c:pt>
                <c:pt idx="210">
                  <c:v>2.8355999999999999</c:v>
                </c:pt>
                <c:pt idx="211">
                  <c:v>4.5231000000000003</c:v>
                </c:pt>
                <c:pt idx="212">
                  <c:v>3.2692000000000001</c:v>
                </c:pt>
                <c:pt idx="213">
                  <c:v>2.5329999999999999</c:v>
                </c:pt>
                <c:pt idx="214">
                  <c:v>2.4091</c:v>
                </c:pt>
                <c:pt idx="215">
                  <c:v>1.9955000000000001</c:v>
                </c:pt>
                <c:pt idx="216">
                  <c:v>2.0341999999999998</c:v>
                </c:pt>
                <c:pt idx="217">
                  <c:v>1.8196000000000001</c:v>
                </c:pt>
                <c:pt idx="218">
                  <c:v>2.4201000000000001</c:v>
                </c:pt>
                <c:pt idx="219">
                  <c:v>2.1095000000000002</c:v>
                </c:pt>
                <c:pt idx="220">
                  <c:v>5.1750999999999996</c:v>
                </c:pt>
                <c:pt idx="221">
                  <c:v>3.1741000000000001</c:v>
                </c:pt>
                <c:pt idx="222">
                  <c:v>2.3860999999999999</c:v>
                </c:pt>
                <c:pt idx="223">
                  <c:v>2.1398000000000001</c:v>
                </c:pt>
                <c:pt idx="224">
                  <c:v>1.8814</c:v>
                </c:pt>
                <c:pt idx="225">
                  <c:v>3.1391</c:v>
                </c:pt>
                <c:pt idx="226">
                  <c:v>2.226</c:v>
                </c:pt>
                <c:pt idx="227">
                  <c:v>2.6983000000000001</c:v>
                </c:pt>
                <c:pt idx="228">
                  <c:v>2.7021999999999999</c:v>
                </c:pt>
                <c:pt idx="229">
                  <c:v>5.7087000000000003</c:v>
                </c:pt>
                <c:pt idx="230">
                  <c:v>6.4695</c:v>
                </c:pt>
                <c:pt idx="231">
                  <c:v>3.6089000000000002</c:v>
                </c:pt>
                <c:pt idx="232">
                  <c:v>2.6276000000000002</c:v>
                </c:pt>
                <c:pt idx="233">
                  <c:v>3.3972000000000002</c:v>
                </c:pt>
                <c:pt idx="234">
                  <c:v>5.3529999999999998</c:v>
                </c:pt>
                <c:pt idx="235">
                  <c:v>4.9935</c:v>
                </c:pt>
                <c:pt idx="236">
                  <c:v>3.0739999999999998</c:v>
                </c:pt>
                <c:pt idx="237">
                  <c:v>4.2949000000000002</c:v>
                </c:pt>
                <c:pt idx="238">
                  <c:v>4.0274000000000001</c:v>
                </c:pt>
                <c:pt idx="239">
                  <c:v>2.2644000000000002</c:v>
                </c:pt>
                <c:pt idx="240">
                  <c:v>2.6884999999999999</c:v>
                </c:pt>
                <c:pt idx="241">
                  <c:v>2.9297</c:v>
                </c:pt>
                <c:pt idx="242">
                  <c:v>2.2170999999999998</c:v>
                </c:pt>
                <c:pt idx="243">
                  <c:v>2.5602999999999998</c:v>
                </c:pt>
                <c:pt idx="244">
                  <c:v>5.7035</c:v>
                </c:pt>
                <c:pt idx="245">
                  <c:v>4.9367000000000001</c:v>
                </c:pt>
                <c:pt idx="246">
                  <c:v>4.8422000000000001</c:v>
                </c:pt>
                <c:pt idx="247">
                  <c:v>3.6901999999999999</c:v>
                </c:pt>
                <c:pt idx="248">
                  <c:v>2.3279999999999998</c:v>
                </c:pt>
                <c:pt idx="249">
                  <c:v>2.9912999999999998</c:v>
                </c:pt>
                <c:pt idx="250">
                  <c:v>3.2656000000000001</c:v>
                </c:pt>
                <c:pt idx="251">
                  <c:v>4.0011000000000001</c:v>
                </c:pt>
              </c:numCache>
            </c:numRef>
          </c:val>
          <c:smooth val="1"/>
          <c:extLst>
            <c:ext xmlns:c16="http://schemas.microsoft.com/office/drawing/2014/chart" uri="{C3380CC4-5D6E-409C-BE32-E72D297353CC}">
              <c16:uniqueId val="{00000001-063A-AB48-B0F4-BD23FA1D67F8}"/>
            </c:ext>
          </c:extLst>
        </c:ser>
        <c:dLbls>
          <c:showLegendKey val="0"/>
          <c:showVal val="0"/>
          <c:showCatName val="0"/>
          <c:showSerName val="0"/>
          <c:showPercent val="0"/>
          <c:showBubbleSize val="0"/>
        </c:dLbls>
        <c:marker val="1"/>
        <c:smooth val="0"/>
        <c:axId val="267622079"/>
        <c:axId val="267436479"/>
      </c:lineChart>
      <c:dateAx>
        <c:axId val="255365951"/>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361919"/>
        <c:crosses val="autoZero"/>
        <c:auto val="1"/>
        <c:lblOffset val="100"/>
        <c:baseTimeUnit val="days"/>
        <c:majorUnit val="2"/>
        <c:majorTimeUnit val="months"/>
        <c:minorUnit val="2"/>
        <c:minorTimeUnit val="months"/>
      </c:dateAx>
      <c:valAx>
        <c:axId val="255361919"/>
        <c:scaling>
          <c:orientation val="minMax"/>
          <c:max val="165"/>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Price Spread (High - Low)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365951"/>
        <c:crosses val="autoZero"/>
        <c:crossBetween val="between"/>
      </c:valAx>
      <c:valAx>
        <c:axId val="267436479"/>
        <c:scaling>
          <c:orientation val="minMax"/>
          <c:min val="1.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Traded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67622079"/>
        <c:crosses val="max"/>
        <c:crossBetween val="between"/>
      </c:valAx>
      <c:dateAx>
        <c:axId val="267622079"/>
        <c:scaling>
          <c:orientation val="minMax"/>
        </c:scaling>
        <c:delete val="1"/>
        <c:axPos val="b"/>
        <c:numFmt formatCode="m/d/yy" sourceLinked="1"/>
        <c:majorTickMark val="out"/>
        <c:minorTickMark val="none"/>
        <c:tickLblPos val="nextTo"/>
        <c:crossAx val="267436479"/>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l-PL" b="1"/>
              <a:t>Amazon Daily Price Trends</a:t>
            </a:r>
          </a:p>
        </c:rich>
      </c:tx>
      <c:layout>
        <c:manualLayout>
          <c:xMode val="edge"/>
          <c:yMode val="edge"/>
          <c:x val="0.28103455818022749"/>
          <c:y val="6.9444444444444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doughnutChart>
        <c:varyColors val="1"/>
        <c:ser>
          <c:idx val="0"/>
          <c:order val="0"/>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2-877C-214D-8165-89DDC1FC96CD}"/>
              </c:ext>
            </c:extLst>
          </c:dPt>
          <c:dPt>
            <c:idx val="1"/>
            <c:bubble3D val="0"/>
            <c:spPr>
              <a:solidFill>
                <a:srgbClr val="EE0020"/>
              </a:solidFill>
              <a:ln w="19050">
                <a:solidFill>
                  <a:schemeClr val="lt1"/>
                </a:solidFill>
              </a:ln>
              <a:effectLst/>
            </c:spPr>
            <c:extLst>
              <c:ext xmlns:c16="http://schemas.microsoft.com/office/drawing/2014/chart" uri="{C3380CC4-5D6E-409C-BE32-E72D297353CC}">
                <c16:uniqueId val="{00000001-877C-214D-8165-89DDC1FC96CD}"/>
              </c:ext>
            </c:extLst>
          </c:dPt>
          <c:dLbls>
            <c:dLbl>
              <c:idx val="0"/>
              <c:layout>
                <c:manualLayout>
                  <c:x val="0.11111111111111101"/>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77C-214D-8165-89DDC1FC96CD}"/>
                </c:ext>
              </c:extLst>
            </c:dLbl>
            <c:dLbl>
              <c:idx val="1"/>
              <c:layout>
                <c:manualLayout>
                  <c:x val="-0.11944444444444446"/>
                  <c:y val="-9.25925925925934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7C-214D-8165-89DDC1FC96CD}"/>
                </c:ext>
              </c:extLst>
            </c:dLbl>
            <c:dLbl>
              <c:idx val="2"/>
              <c:numFmt formatCode="#,##0.00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77C-214D-8165-89DDC1FC96C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Daily_change!$B$4:$B$5</c:f>
              <c:strCache>
                <c:ptCount val="2"/>
                <c:pt idx="0">
                  <c:v>Increase</c:v>
                </c:pt>
                <c:pt idx="1">
                  <c:v>Decrease</c:v>
                </c:pt>
              </c:strCache>
            </c:strRef>
          </c:cat>
          <c:val>
            <c:numRef>
              <c:f>Daily_change!$C$4:$C$5</c:f>
              <c:numCache>
                <c:formatCode>General</c:formatCode>
                <c:ptCount val="2"/>
                <c:pt idx="0">
                  <c:v>122</c:v>
                </c:pt>
                <c:pt idx="1">
                  <c:v>129</c:v>
                </c:pt>
              </c:numCache>
            </c:numRef>
          </c:val>
          <c:extLst>
            <c:ext xmlns:c16="http://schemas.microsoft.com/office/drawing/2014/chart" uri="{C3380CC4-5D6E-409C-BE32-E72D297353CC}">
              <c16:uniqueId val="{00000000-877C-214D-8165-89DDC1FC96C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Amazon Daily Price Fluctuations </a:t>
            </a:r>
            <a:br>
              <a:rPr lang="en-US"/>
            </a:br>
            <a:r>
              <a:rPr lang="en-US" i="1"/>
              <a:t>(Dec 2020 -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Amazon_stock!$G$1</c:f>
              <c:strCache>
                <c:ptCount val="1"/>
                <c:pt idx="0">
                  <c:v>Daily change</c:v>
                </c:pt>
              </c:strCache>
            </c:strRef>
          </c:tx>
          <c:spPr>
            <a:solidFill>
              <a:srgbClr val="47D45A"/>
            </a:solidFill>
            <a:ln>
              <a:noFill/>
            </a:ln>
            <a:effectLst/>
          </c:spPr>
          <c:invertIfNegative val="1"/>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Amazon_stock!$G$2:$G$253</c:f>
              <c:numCache>
                <c:formatCode>General</c:formatCode>
                <c:ptCount val="252"/>
                <c:pt idx="0">
                  <c:v>31.580077999999958</c:v>
                </c:pt>
                <c:pt idx="1">
                  <c:v>-18.119873000000098</c:v>
                </c:pt>
                <c:pt idx="2">
                  <c:v>-18.729980999999952</c:v>
                </c:pt>
                <c:pt idx="3">
                  <c:v>-35.629883000000063</c:v>
                </c:pt>
                <c:pt idx="4">
                  <c:v>1.5200199999999313</c:v>
                </c:pt>
                <c:pt idx="5">
                  <c:v>18.390136999999868</c:v>
                </c:pt>
                <c:pt idx="6">
                  <c:v>-63.689941999999974</c:v>
                </c:pt>
                <c:pt idx="7">
                  <c:v>12.5</c:v>
                </c:pt>
                <c:pt idx="8">
                  <c:v>19.760009999999966</c:v>
                </c:pt>
                <c:pt idx="9">
                  <c:v>13.969970999999987</c:v>
                </c:pt>
                <c:pt idx="10">
                  <c:v>-15.889893000000029</c:v>
                </c:pt>
                <c:pt idx="11">
                  <c:v>64.949951000000056</c:v>
                </c:pt>
                <c:pt idx="12">
                  <c:v>-13.919922000000042</c:v>
                </c:pt>
                <c:pt idx="13">
                  <c:v>-42.340087999999923</c:v>
                </c:pt>
                <c:pt idx="14">
                  <c:v>6.1699220000000423</c:v>
                </c:pt>
                <c:pt idx="15">
                  <c:v>3.679932000000008</c:v>
                </c:pt>
                <c:pt idx="16">
                  <c:v>-19.729980000000069</c:v>
                </c:pt>
                <c:pt idx="17">
                  <c:v>-21.209961000000021</c:v>
                </c:pt>
                <c:pt idx="18">
                  <c:v>89.959961000000021</c:v>
                </c:pt>
                <c:pt idx="19">
                  <c:v>12.06005899999991</c:v>
                </c:pt>
                <c:pt idx="20">
                  <c:v>-55.149902000000111</c:v>
                </c:pt>
                <c:pt idx="21">
                  <c:v>-18.070067999999992</c:v>
                </c:pt>
                <c:pt idx="22">
                  <c:v>-83.370116999999937</c:v>
                </c:pt>
                <c:pt idx="23">
                  <c:v>52.5</c:v>
                </c:pt>
                <c:pt idx="24">
                  <c:v>-8.1000970000000052</c:v>
                </c:pt>
                <c:pt idx="25">
                  <c:v>5.1599120000000767</c:v>
                </c:pt>
                <c:pt idx="26">
                  <c:v>2.6999510000000555</c:v>
                </c:pt>
                <c:pt idx="27">
                  <c:v>-33.800048999999944</c:v>
                </c:pt>
                <c:pt idx="28">
                  <c:v>0.83007799999995768</c:v>
                </c:pt>
                <c:pt idx="29">
                  <c:v>37.449951999999939</c:v>
                </c:pt>
                <c:pt idx="30">
                  <c:v>-40.050048999999944</c:v>
                </c:pt>
                <c:pt idx="31">
                  <c:v>-18.770019999999931</c:v>
                </c:pt>
                <c:pt idx="32">
                  <c:v>13.760009999999966</c:v>
                </c:pt>
                <c:pt idx="33">
                  <c:v>81.389893000000029</c:v>
                </c:pt>
                <c:pt idx="34">
                  <c:v>13.989990000000034</c:v>
                </c:pt>
                <c:pt idx="35">
                  <c:v>-12.080078999999841</c:v>
                </c:pt>
                <c:pt idx="36">
                  <c:v>-34.5</c:v>
                </c:pt>
                <c:pt idx="37">
                  <c:v>29.769776000000093</c:v>
                </c:pt>
                <c:pt idx="38">
                  <c:v>-108.90991200000008</c:v>
                </c:pt>
                <c:pt idx="39">
                  <c:v>2.5800779999999577</c:v>
                </c:pt>
                <c:pt idx="40">
                  <c:v>-23.800048999999944</c:v>
                </c:pt>
                <c:pt idx="41">
                  <c:v>100.51977600000009</c:v>
                </c:pt>
                <c:pt idx="42">
                  <c:v>0</c:v>
                </c:pt>
                <c:pt idx="43">
                  <c:v>-112.47998099999995</c:v>
                </c:pt>
                <c:pt idx="44">
                  <c:v>1</c:v>
                </c:pt>
                <c:pt idx="45">
                  <c:v>33.149902000000111</c:v>
                </c:pt>
                <c:pt idx="46">
                  <c:v>-35.56005899999991</c:v>
                </c:pt>
                <c:pt idx="47">
                  <c:v>-7.4899900000000343</c:v>
                </c:pt>
                <c:pt idx="48">
                  <c:v>-27.419922000000042</c:v>
                </c:pt>
                <c:pt idx="49">
                  <c:v>-29.870116999999937</c:v>
                </c:pt>
                <c:pt idx="50">
                  <c:v>27.709961000000021</c:v>
                </c:pt>
                <c:pt idx="51">
                  <c:v>14.899902000000111</c:v>
                </c:pt>
                <c:pt idx="52">
                  <c:v>45.03979500000014</c:v>
                </c:pt>
                <c:pt idx="53">
                  <c:v>45.810058000000026</c:v>
                </c:pt>
                <c:pt idx="54">
                  <c:v>-78.330077999999958</c:v>
                </c:pt>
                <c:pt idx="55">
                  <c:v>-27.389893000000029</c:v>
                </c:pt>
                <c:pt idx="56">
                  <c:v>67.469970999999987</c:v>
                </c:pt>
                <c:pt idx="57">
                  <c:v>-7.2199709999999868</c:v>
                </c:pt>
                <c:pt idx="58">
                  <c:v>-79.580077999999958</c:v>
                </c:pt>
                <c:pt idx="59">
                  <c:v>-2.2700190000000475</c:v>
                </c:pt>
                <c:pt idx="60">
                  <c:v>18.25</c:v>
                </c:pt>
                <c:pt idx="61">
                  <c:v>-48.939941999999974</c:v>
                </c:pt>
                <c:pt idx="62">
                  <c:v>-76.179932000000008</c:v>
                </c:pt>
                <c:pt idx="63">
                  <c:v>-34.429932000000008</c:v>
                </c:pt>
                <c:pt idx="64">
                  <c:v>-4.5400389999999788</c:v>
                </c:pt>
                <c:pt idx="65">
                  <c:v>-63.050048999999944</c:v>
                </c:pt>
                <c:pt idx="66">
                  <c:v>44.860107999999855</c:v>
                </c:pt>
                <c:pt idx="67">
                  <c:v>-40.810058000000026</c:v>
                </c:pt>
                <c:pt idx="68">
                  <c:v>9.5800779999999577</c:v>
                </c:pt>
                <c:pt idx="69">
                  <c:v>14.489990000000034</c:v>
                </c:pt>
                <c:pt idx="70">
                  <c:v>7.1098640000000159</c:v>
                </c:pt>
                <c:pt idx="71">
                  <c:v>-13.109864000000016</c:v>
                </c:pt>
                <c:pt idx="72">
                  <c:v>62.510009000000082</c:v>
                </c:pt>
                <c:pt idx="73">
                  <c:v>-73.010009999999966</c:v>
                </c:pt>
                <c:pt idx="74">
                  <c:v>45.729980999999952</c:v>
                </c:pt>
                <c:pt idx="75">
                  <c:v>43.020019000000048</c:v>
                </c:pt>
                <c:pt idx="76">
                  <c:v>10.5</c:v>
                </c:pt>
                <c:pt idx="77">
                  <c:v>-63.969970999999987</c:v>
                </c:pt>
                <c:pt idx="78">
                  <c:v>-26.729980000000069</c:v>
                </c:pt>
                <c:pt idx="79">
                  <c:v>7.969970000000103</c:v>
                </c:pt>
                <c:pt idx="80">
                  <c:v>20.290038999999979</c:v>
                </c:pt>
                <c:pt idx="81">
                  <c:v>-14.719970999999987</c:v>
                </c:pt>
                <c:pt idx="82">
                  <c:v>30.020019000000048</c:v>
                </c:pt>
                <c:pt idx="83">
                  <c:v>43.06005899999991</c:v>
                </c:pt>
                <c:pt idx="84">
                  <c:v>53.729980000000069</c:v>
                </c:pt>
                <c:pt idx="85">
                  <c:v>7.0067999999992026E-2</c:v>
                </c:pt>
                <c:pt idx="86">
                  <c:v>45.589844000000085</c:v>
                </c:pt>
                <c:pt idx="87">
                  <c:v>-11.599853000000167</c:v>
                </c:pt>
                <c:pt idx="88">
                  <c:v>67.5</c:v>
                </c:pt>
                <c:pt idx="89">
                  <c:v>24.179932000000008</c:v>
                </c:pt>
                <c:pt idx="90">
                  <c:v>-0.850097999999889</c:v>
                </c:pt>
                <c:pt idx="91">
                  <c:v>-71.040038999999979</c:v>
                </c:pt>
                <c:pt idx="92">
                  <c:v>8.0900879999999233</c:v>
                </c:pt>
                <c:pt idx="93">
                  <c:v>19.43994100000009</c:v>
                </c:pt>
                <c:pt idx="94">
                  <c:v>-18.320067999999992</c:v>
                </c:pt>
                <c:pt idx="95">
                  <c:v>-38.910156999999799</c:v>
                </c:pt>
                <c:pt idx="96">
                  <c:v>46.020019999999931</c:v>
                </c:pt>
                <c:pt idx="97">
                  <c:v>-62.639893000000029</c:v>
                </c:pt>
                <c:pt idx="98">
                  <c:v>21.779785000000174</c:v>
                </c:pt>
                <c:pt idx="99">
                  <c:v>61</c:v>
                </c:pt>
                <c:pt idx="100">
                  <c:v>-26.040038999999979</c:v>
                </c:pt>
                <c:pt idx="101">
                  <c:v>23.699951000000056</c:v>
                </c:pt>
                <c:pt idx="102">
                  <c:v>-33.790038999999979</c:v>
                </c:pt>
                <c:pt idx="103">
                  <c:v>-57.700194999999894</c:v>
                </c:pt>
                <c:pt idx="104">
                  <c:v>-98.239990000000034</c:v>
                </c:pt>
                <c:pt idx="105">
                  <c:v>-44.319824000000153</c:v>
                </c:pt>
                <c:pt idx="106">
                  <c:v>-68.320067999999992</c:v>
                </c:pt>
                <c:pt idx="107">
                  <c:v>36.370116999999937</c:v>
                </c:pt>
                <c:pt idx="108">
                  <c:v>-27.479980999999952</c:v>
                </c:pt>
                <c:pt idx="109">
                  <c:v>-91.830077999999958</c:v>
                </c:pt>
                <c:pt idx="110">
                  <c:v>87.629883000000063</c:v>
                </c:pt>
                <c:pt idx="111">
                  <c:v>-33.06005899999991</c:v>
                </c:pt>
                <c:pt idx="112">
                  <c:v>-24</c:v>
                </c:pt>
                <c:pt idx="113">
                  <c:v>37.339843000000201</c:v>
                </c:pt>
                <c:pt idx="114">
                  <c:v>24.459961000000021</c:v>
                </c:pt>
                <c:pt idx="115">
                  <c:v>-60.300048999999944</c:v>
                </c:pt>
                <c:pt idx="116">
                  <c:v>36.800048999999944</c:v>
                </c:pt>
                <c:pt idx="117">
                  <c:v>3.280029999999897</c:v>
                </c:pt>
                <c:pt idx="118">
                  <c:v>-46.919922000000042</c:v>
                </c:pt>
                <c:pt idx="119">
                  <c:v>29.489990000000034</c:v>
                </c:pt>
                <c:pt idx="120">
                  <c:v>-7.6198730000000978</c:v>
                </c:pt>
                <c:pt idx="121">
                  <c:v>-9.4301759999998467</c:v>
                </c:pt>
                <c:pt idx="122">
                  <c:v>-25.889893000000029</c:v>
                </c:pt>
                <c:pt idx="123">
                  <c:v>-18.929932000000008</c:v>
                </c:pt>
                <c:pt idx="124">
                  <c:v>-24.850097999999889</c:v>
                </c:pt>
                <c:pt idx="125">
                  <c:v>10.889892000000145</c:v>
                </c:pt>
                <c:pt idx="126">
                  <c:v>-17.219970000000103</c:v>
                </c:pt>
                <c:pt idx="127">
                  <c:v>-5.7800290000000132</c:v>
                </c:pt>
                <c:pt idx="128">
                  <c:v>0.67993200000000797</c:v>
                </c:pt>
                <c:pt idx="129">
                  <c:v>41.5</c:v>
                </c:pt>
                <c:pt idx="130">
                  <c:v>8.2797850000001745</c:v>
                </c:pt>
                <c:pt idx="131">
                  <c:v>67.639892000000145</c:v>
                </c:pt>
                <c:pt idx="132">
                  <c:v>-2.8198240000001533</c:v>
                </c:pt>
                <c:pt idx="133">
                  <c:v>37.040038999999979</c:v>
                </c:pt>
                <c:pt idx="134">
                  <c:v>-0.87011699999993652</c:v>
                </c:pt>
                <c:pt idx="135">
                  <c:v>23.25</c:v>
                </c:pt>
                <c:pt idx="136">
                  <c:v>86.060058000000026</c:v>
                </c:pt>
                <c:pt idx="137">
                  <c:v>6.9099120000000767</c:v>
                </c:pt>
                <c:pt idx="138">
                  <c:v>-22.459961000000021</c:v>
                </c:pt>
                <c:pt idx="139">
                  <c:v>47.37988200000018</c:v>
                </c:pt>
                <c:pt idx="140">
                  <c:v>-1.179932000000008</c:v>
                </c:pt>
                <c:pt idx="141">
                  <c:v>-58.559815000000071</c:v>
                </c:pt>
                <c:pt idx="142">
                  <c:v>-62.540038999999979</c:v>
                </c:pt>
                <c:pt idx="143">
                  <c:v>27.889893000000029</c:v>
                </c:pt>
                <c:pt idx="144">
                  <c:v>9.3198250000000371</c:v>
                </c:pt>
                <c:pt idx="145">
                  <c:v>-0.9001469999998335</c:v>
                </c:pt>
                <c:pt idx="146">
                  <c:v>-1.6401359999999841</c:v>
                </c:pt>
                <c:pt idx="147">
                  <c:v>59.34008700000004</c:v>
                </c:pt>
                <c:pt idx="148">
                  <c:v>145.62988300000006</c:v>
                </c:pt>
                <c:pt idx="149">
                  <c:v>-20.799805000000106</c:v>
                </c:pt>
                <c:pt idx="150">
                  <c:v>87.849853000000167</c:v>
                </c:pt>
                <c:pt idx="151">
                  <c:v>-3.179932000000008</c:v>
                </c:pt>
                <c:pt idx="152">
                  <c:v>-25.449951000000056</c:v>
                </c:pt>
                <c:pt idx="153">
                  <c:v>-24.739990999999918</c:v>
                </c:pt>
                <c:pt idx="154">
                  <c:v>-27.170165999999881</c:v>
                </c:pt>
                <c:pt idx="155">
                  <c:v>-63</c:v>
                </c:pt>
                <c:pt idx="156">
                  <c:v>-59.680175999999847</c:v>
                </c:pt>
                <c:pt idx="157">
                  <c:v>17.010009999999966</c:v>
                </c:pt>
                <c:pt idx="158">
                  <c:v>5.8698730000000978</c:v>
                </c:pt>
                <c:pt idx="159">
                  <c:v>8.820067999999992</c:v>
                </c:pt>
                <c:pt idx="160">
                  <c:v>50.800048999999944</c:v>
                </c:pt>
                <c:pt idx="161">
                  <c:v>16.639893000000029</c:v>
                </c:pt>
                <c:pt idx="162">
                  <c:v>26.65014599999995</c:v>
                </c:pt>
                <c:pt idx="163">
                  <c:v>-72.110106999999971</c:v>
                </c:pt>
                <c:pt idx="164">
                  <c:v>-3.4599610000000212</c:v>
                </c:pt>
                <c:pt idx="165">
                  <c:v>-27.830077999999958</c:v>
                </c:pt>
                <c:pt idx="166">
                  <c:v>-20.359863000000132</c:v>
                </c:pt>
                <c:pt idx="167">
                  <c:v>-21.62011799999982</c:v>
                </c:pt>
                <c:pt idx="168">
                  <c:v>25.520019000000048</c:v>
                </c:pt>
                <c:pt idx="169">
                  <c:v>-24.630126999999902</c:v>
                </c:pt>
                <c:pt idx="170">
                  <c:v>19.770019000000048</c:v>
                </c:pt>
                <c:pt idx="171">
                  <c:v>-30.06005899999991</c:v>
                </c:pt>
                <c:pt idx="172">
                  <c:v>-1.7399900000000343</c:v>
                </c:pt>
                <c:pt idx="173">
                  <c:v>-24.330077999999958</c:v>
                </c:pt>
                <c:pt idx="174">
                  <c:v>-39.339844000000085</c:v>
                </c:pt>
                <c:pt idx="175">
                  <c:v>13.5</c:v>
                </c:pt>
                <c:pt idx="176">
                  <c:v>-11.699951000000056</c:v>
                </c:pt>
                <c:pt idx="177">
                  <c:v>15.989990000000034</c:v>
                </c:pt>
                <c:pt idx="178">
                  <c:v>-35.540038999999979</c:v>
                </c:pt>
                <c:pt idx="179">
                  <c:v>-40.770019000000048</c:v>
                </c:pt>
                <c:pt idx="180">
                  <c:v>-6.2700199999999313</c:v>
                </c:pt>
                <c:pt idx="181">
                  <c:v>-3.920165999999881</c:v>
                </c:pt>
                <c:pt idx="182">
                  <c:v>53.970214999999826</c:v>
                </c:pt>
                <c:pt idx="183">
                  <c:v>25.780029000000013</c:v>
                </c:pt>
                <c:pt idx="184">
                  <c:v>-10.690184999999929</c:v>
                </c:pt>
                <c:pt idx="185">
                  <c:v>17</c:v>
                </c:pt>
                <c:pt idx="186">
                  <c:v>16.399902999999995</c:v>
                </c:pt>
                <c:pt idx="187">
                  <c:v>64.140135999999984</c:v>
                </c:pt>
                <c:pt idx="188">
                  <c:v>45.989990000000034</c:v>
                </c:pt>
                <c:pt idx="189">
                  <c:v>-17.399902000000111</c:v>
                </c:pt>
                <c:pt idx="190">
                  <c:v>-31.639893000000029</c:v>
                </c:pt>
                <c:pt idx="191">
                  <c:v>26.050048999999944</c:v>
                </c:pt>
                <c:pt idx="192">
                  <c:v>31.290038999999979</c:v>
                </c:pt>
                <c:pt idx="193">
                  <c:v>13.850097999999889</c:v>
                </c:pt>
                <c:pt idx="194">
                  <c:v>-41.860107999999855</c:v>
                </c:pt>
                <c:pt idx="195">
                  <c:v>-32.680175999999847</c:v>
                </c:pt>
                <c:pt idx="196">
                  <c:v>-25.630126999999902</c:v>
                </c:pt>
                <c:pt idx="197">
                  <c:v>-25.550048999999944</c:v>
                </c:pt>
                <c:pt idx="198">
                  <c:v>33.270019000000048</c:v>
                </c:pt>
                <c:pt idx="199">
                  <c:v>28.280029000000013</c:v>
                </c:pt>
                <c:pt idx="200">
                  <c:v>-25.889892000000145</c:v>
                </c:pt>
                <c:pt idx="201">
                  <c:v>-40.270019999999931</c:v>
                </c:pt>
                <c:pt idx="202">
                  <c:v>-31.370116999999937</c:v>
                </c:pt>
                <c:pt idx="203">
                  <c:v>29.050048999999944</c:v>
                </c:pt>
                <c:pt idx="204">
                  <c:v>35.949951000000056</c:v>
                </c:pt>
                <c:pt idx="205">
                  <c:v>23.510009999999966</c:v>
                </c:pt>
                <c:pt idx="206">
                  <c:v>34.300048999999944</c:v>
                </c:pt>
                <c:pt idx="207">
                  <c:v>-41.75</c:v>
                </c:pt>
                <c:pt idx="208">
                  <c:v>-20.989990000000034</c:v>
                </c:pt>
                <c:pt idx="209">
                  <c:v>-30.959961000000021</c:v>
                </c:pt>
                <c:pt idx="210">
                  <c:v>-5.75</c:v>
                </c:pt>
                <c:pt idx="211">
                  <c:v>-89.609864000000016</c:v>
                </c:pt>
                <c:pt idx="212">
                  <c:v>16.5</c:v>
                </c:pt>
                <c:pt idx="213">
                  <c:v>48.479980999999952</c:v>
                </c:pt>
                <c:pt idx="214">
                  <c:v>10.889893000000029</c:v>
                </c:pt>
                <c:pt idx="215">
                  <c:v>-28.379883000000063</c:v>
                </c:pt>
                <c:pt idx="216">
                  <c:v>-28.699951000000056</c:v>
                </c:pt>
                <c:pt idx="217">
                  <c:v>-9.6699220000000423</c:v>
                </c:pt>
                <c:pt idx="218">
                  <c:v>14.570067999999992</c:v>
                </c:pt>
                <c:pt idx="219">
                  <c:v>-2.5898440000000846</c:v>
                </c:pt>
                <c:pt idx="220">
                  <c:v>97.600097999999889</c:v>
                </c:pt>
                <c:pt idx="221">
                  <c:v>58.379883000000063</c:v>
                </c:pt>
                <c:pt idx="222">
                  <c:v>9.8598630000001322</c:v>
                </c:pt>
                <c:pt idx="223">
                  <c:v>-37.599853000000167</c:v>
                </c:pt>
                <c:pt idx="224">
                  <c:v>20.760009999999966</c:v>
                </c:pt>
                <c:pt idx="225">
                  <c:v>-85.449951000000056</c:v>
                </c:pt>
                <c:pt idx="226">
                  <c:v>-14.629883000000063</c:v>
                </c:pt>
                <c:pt idx="227">
                  <c:v>26.560058000000026</c:v>
                </c:pt>
                <c:pt idx="228">
                  <c:v>4.4899900000000343</c:v>
                </c:pt>
                <c:pt idx="229">
                  <c:v>44.469970000000103</c:v>
                </c:pt>
                <c:pt idx="230">
                  <c:v>72.409912000000077</c:v>
                </c:pt>
                <c:pt idx="231">
                  <c:v>-43.689941999999974</c:v>
                </c:pt>
                <c:pt idx="232">
                  <c:v>-2.2600099999999657</c:v>
                </c:pt>
                <c:pt idx="233">
                  <c:v>75</c:v>
                </c:pt>
                <c:pt idx="234">
                  <c:v>107</c:v>
                </c:pt>
                <c:pt idx="235">
                  <c:v>41.989990000000034</c:v>
                </c:pt>
                <c:pt idx="236">
                  <c:v>-34.260009999999966</c:v>
                </c:pt>
                <c:pt idx="237">
                  <c:v>60.979980000000069</c:v>
                </c:pt>
                <c:pt idx="238">
                  <c:v>-81.820067999999992</c:v>
                </c:pt>
                <c:pt idx="239">
                  <c:v>-40.5</c:v>
                </c:pt>
                <c:pt idx="240">
                  <c:v>40.149902000000111</c:v>
                </c:pt>
                <c:pt idx="241">
                  <c:v>8.679932000000008</c:v>
                </c:pt>
                <c:pt idx="242">
                  <c:v>1.6999510000000555</c:v>
                </c:pt>
                <c:pt idx="243">
                  <c:v>-15.719970999999987</c:v>
                </c:pt>
                <c:pt idx="244">
                  <c:v>129.70996100000002</c:v>
                </c:pt>
                <c:pt idx="245">
                  <c:v>-36.119873000000098</c:v>
                </c:pt>
                <c:pt idx="246">
                  <c:v>-103.80981500000007</c:v>
                </c:pt>
                <c:pt idx="247">
                  <c:v>-5</c:v>
                </c:pt>
                <c:pt idx="248">
                  <c:v>17.739990000000034</c:v>
                </c:pt>
                <c:pt idx="249">
                  <c:v>-97.540038999999979</c:v>
                </c:pt>
                <c:pt idx="250">
                  <c:v>13.930174999999963</c:v>
                </c:pt>
                <c:pt idx="251">
                  <c:v>-56.429932000000008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0DF7-2F40-A159-506F7BC93EDE}"/>
            </c:ext>
          </c:extLst>
        </c:ser>
        <c:dLbls>
          <c:showLegendKey val="0"/>
          <c:showVal val="0"/>
          <c:showCatName val="0"/>
          <c:showSerName val="0"/>
          <c:showPercent val="0"/>
          <c:showBubbleSize val="0"/>
        </c:dLbls>
        <c:gapWidth val="150"/>
        <c:axId val="1409092672"/>
        <c:axId val="1409096704"/>
      </c:barChart>
      <c:dateAx>
        <c:axId val="1409092672"/>
        <c:scaling>
          <c:orientation val="minMax"/>
        </c:scaling>
        <c:delete val="0"/>
        <c:axPos val="b"/>
        <c:numFmt formatCode="mm\/yyyy"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096704"/>
        <c:crosses val="autoZero"/>
        <c:auto val="1"/>
        <c:lblOffset val="100"/>
        <c:baseTimeUnit val="days"/>
        <c:majorUnit val="31"/>
        <c:majorTimeUnit val="days"/>
        <c:minorUnit val="1"/>
      </c:dateAx>
      <c:valAx>
        <c:axId val="1409096704"/>
        <c:scaling>
          <c:orientation val="minMax"/>
          <c:max val="150"/>
          <c:min val="-110"/>
        </c:scaling>
        <c:delete val="0"/>
        <c:axPos val="l"/>
        <c:majorGridlines>
          <c:spPr>
            <a:ln w="9525" cap="flat" cmpd="sng" algn="ctr">
              <a:solidFill>
                <a:schemeClr val="tx1">
                  <a:lumMod val="15000"/>
                  <a:lumOff val="85000"/>
                </a:schemeClr>
              </a:solidFill>
              <a:round/>
            </a:ln>
            <a:effectLst/>
          </c:spPr>
        </c:majorGridlines>
        <c:numFmt formatCode="[$$-1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09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[Amazon_stock-kopia.xlsx]Daily_change!PivotTable1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Summary of Monthly Price Fluctuations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Daily_change!$J$3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bg2">
                    <a:lumMod val="75000"/>
                  </a:schemeClr>
                </a:solidFill>
                <a:prstDash val="sysDot"/>
              </a:ln>
              <a:effectLst/>
            </c:spPr>
            <c:trendlineType val="linear"/>
            <c:dispRSqr val="0"/>
            <c:dispEq val="0"/>
          </c:trendline>
          <c:cat>
            <c:multiLvlStrRef>
              <c:f>Daily_change!$I$4:$I$18</c:f>
              <c:multiLvlStrCache>
                <c:ptCount val="12"/>
                <c:lvl>
                  <c:pt idx="0">
                    <c:v>Dec</c:v>
                  </c:pt>
                  <c:pt idx="1">
                    <c:v>Jan</c:v>
                  </c:pt>
                  <c:pt idx="2">
                    <c:v>Feb</c:v>
                  </c:pt>
                  <c:pt idx="3">
                    <c:v>Mar</c:v>
                  </c:pt>
                  <c:pt idx="4">
                    <c:v>Apr</c:v>
                  </c:pt>
                  <c:pt idx="5">
                    <c:v>May</c:v>
                  </c:pt>
                  <c:pt idx="6">
                    <c:v>Jun</c:v>
                  </c:pt>
                  <c:pt idx="7">
                    <c:v>Jul</c:v>
                  </c:pt>
                  <c:pt idx="8">
                    <c:v>Aug</c:v>
                  </c:pt>
                  <c:pt idx="9">
                    <c:v>Sep</c:v>
                  </c:pt>
                  <c:pt idx="10">
                    <c:v>Oct</c:v>
                  </c:pt>
                  <c:pt idx="11">
                    <c:v>Nov</c:v>
                  </c:pt>
                </c:lvl>
                <c:lvl>
                  <c:pt idx="0">
                    <c:v>2020</c:v>
                  </c:pt>
                  <c:pt idx="1">
                    <c:v>2021</c:v>
                  </c:pt>
                </c:lvl>
              </c:multiLvlStrCache>
            </c:multiLvlStrRef>
          </c:cat>
          <c:val>
            <c:numRef>
              <c:f>Daily_change!$J$4:$J$18</c:f>
              <c:numCache>
                <c:formatCode>General</c:formatCode>
                <c:ptCount val="12"/>
                <c:pt idx="0">
                  <c:v>-47.939452000000529</c:v>
                </c:pt>
                <c:pt idx="1">
                  <c:v>-123.25073199999952</c:v>
                </c:pt>
                <c:pt idx="2">
                  <c:v>-72.010742999999366</c:v>
                </c:pt>
                <c:pt idx="3">
                  <c:v>-145.15967099999989</c:v>
                </c:pt>
                <c:pt idx="4">
                  <c:v>93.269287000000531</c:v>
                </c:pt>
                <c:pt idx="5">
                  <c:v>-300.96997199999987</c:v>
                </c:pt>
                <c:pt idx="6">
                  <c:v>169.65917800000079</c:v>
                </c:pt>
                <c:pt idx="7">
                  <c:v>69.189696000000367</c:v>
                </c:pt>
                <c:pt idx="8">
                  <c:v>47.449705000000449</c:v>
                </c:pt>
                <c:pt idx="9">
                  <c:v>-110.43994199999997</c:v>
                </c:pt>
                <c:pt idx="10">
                  <c:v>122.59057499999972</c:v>
                </c:pt>
                <c:pt idx="11">
                  <c:v>-20.269778999999744</c:v>
                </c:pt>
              </c:numCache>
            </c:numRef>
          </c:val>
          <c:smooth val="1"/>
          <c:extLst>
            <c:ext xmlns:c16="http://schemas.microsoft.com/office/drawing/2014/chart" uri="{C3380CC4-5D6E-409C-BE32-E72D297353CC}">
              <c16:uniqueId val="{00000000-E73B-EF49-8D13-29A1F292211B}"/>
            </c:ext>
          </c:extLst>
        </c:ser>
        <c:dLbls>
          <c:showLegendKey val="0"/>
          <c:showVal val="0"/>
          <c:showCatName val="0"/>
          <c:showSerName val="0"/>
          <c:showPercent val="0"/>
          <c:showBubbleSize val="0"/>
        </c:dLbls>
        <c:marker val="1"/>
        <c:smooth val="0"/>
        <c:axId val="362997375"/>
        <c:axId val="362999615"/>
      </c:lineChart>
      <c:catAx>
        <c:axId val="362997375"/>
        <c:scaling>
          <c:orientation val="minMax"/>
        </c:scaling>
        <c:delete val="0"/>
        <c:axPos val="b"/>
        <c:numFmt formatCode="General" sourceLinked="0"/>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62999615"/>
        <c:crosses val="autoZero"/>
        <c:auto val="1"/>
        <c:lblAlgn val="ctr"/>
        <c:lblOffset val="100"/>
        <c:noMultiLvlLbl val="0"/>
      </c:catAx>
      <c:valAx>
        <c:axId val="362999615"/>
        <c:scaling>
          <c:orientation val="minMax"/>
          <c:max val="300"/>
          <c:min val="-400"/>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62997375"/>
        <c:crosses val="autoZero"/>
        <c:crossBetween val="between"/>
        <c:majorUnit val="100"/>
        <c:min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Trading Volume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3">
                  <a:lumMod val="75000"/>
                </a:schemeClr>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Amazon_stock!$H$2:$H$253</c:f>
              <c:numCache>
                <c:formatCode>General</c:formatCode>
                <c:ptCount val="252"/>
                <c:pt idx="0">
                  <c:v>4.5369999999999999</c:v>
                </c:pt>
                <c:pt idx="1">
                  <c:v>3.1293000000000002</c:v>
                </c:pt>
                <c:pt idx="2">
                  <c:v>2.8919999999999999</c:v>
                </c:pt>
                <c:pt idx="3">
                  <c:v>2.9136000000000002</c:v>
                </c:pt>
                <c:pt idx="4">
                  <c:v>2.7513000000000001</c:v>
                </c:pt>
                <c:pt idx="5">
                  <c:v>3.2863000000000002</c:v>
                </c:pt>
                <c:pt idx="6">
                  <c:v>4.1007999999999996</c:v>
                </c:pt>
                <c:pt idx="7">
                  <c:v>3.0301999999999998</c:v>
                </c:pt>
                <c:pt idx="8">
                  <c:v>3.0647000000000002</c:v>
                </c:pt>
                <c:pt idx="9">
                  <c:v>4.1558000000000002</c:v>
                </c:pt>
                <c:pt idx="10">
                  <c:v>3.3195000000000001</c:v>
                </c:pt>
                <c:pt idx="11">
                  <c:v>4.4276</c:v>
                </c:pt>
                <c:pt idx="12">
                  <c:v>3.4742999999999999</c:v>
                </c:pt>
                <c:pt idx="13">
                  <c:v>5.9957000000000003</c:v>
                </c:pt>
                <c:pt idx="14">
                  <c:v>3.8368000000000002</c:v>
                </c:pt>
                <c:pt idx="15">
                  <c:v>2.3694000000000002</c:v>
                </c:pt>
                <c:pt idx="16">
                  <c:v>2.0937999999999999</c:v>
                </c:pt>
                <c:pt idx="17">
                  <c:v>1.4519</c:v>
                </c:pt>
                <c:pt idx="18">
                  <c:v>5.6867999999999999</c:v>
                </c:pt>
                <c:pt idx="19">
                  <c:v>4.8728999999999996</c:v>
                </c:pt>
                <c:pt idx="20">
                  <c:v>3.2092999999999998</c:v>
                </c:pt>
                <c:pt idx="21">
                  <c:v>2.9571999999999998</c:v>
                </c:pt>
                <c:pt idx="22">
                  <c:v>4.4114000000000004</c:v>
                </c:pt>
                <c:pt idx="23">
                  <c:v>2.6555</c:v>
                </c:pt>
                <c:pt idx="24">
                  <c:v>4.3948</c:v>
                </c:pt>
                <c:pt idx="25">
                  <c:v>3.5145</c:v>
                </c:pt>
                <c:pt idx="26">
                  <c:v>3.5377000000000001</c:v>
                </c:pt>
                <c:pt idx="27">
                  <c:v>3.6833999999999998</c:v>
                </c:pt>
                <c:pt idx="28">
                  <c:v>3.5146000000000002</c:v>
                </c:pt>
                <c:pt idx="29">
                  <c:v>3.3212000000000002</c:v>
                </c:pt>
                <c:pt idx="30">
                  <c:v>3.0709</c:v>
                </c:pt>
                <c:pt idx="31">
                  <c:v>4.2439999999999998</c:v>
                </c:pt>
                <c:pt idx="32">
                  <c:v>3.3050999999999999</c:v>
                </c:pt>
                <c:pt idx="33">
                  <c:v>5.3098000000000001</c:v>
                </c:pt>
                <c:pt idx="34">
                  <c:v>4.9360999999999997</c:v>
                </c:pt>
                <c:pt idx="35">
                  <c:v>2.8218999999999999</c:v>
                </c:pt>
                <c:pt idx="36">
                  <c:v>3.7498</c:v>
                </c:pt>
                <c:pt idx="37">
                  <c:v>2.9552</c:v>
                </c:pt>
                <c:pt idx="38">
                  <c:v>4.6601999999999997</c:v>
                </c:pt>
                <c:pt idx="39">
                  <c:v>3.1492</c:v>
                </c:pt>
                <c:pt idx="40">
                  <c:v>4.2935999999999996</c:v>
                </c:pt>
                <c:pt idx="41">
                  <c:v>4.1601999999999997</c:v>
                </c:pt>
                <c:pt idx="42">
                  <c:v>7.0986000000000002</c:v>
                </c:pt>
                <c:pt idx="43">
                  <c:v>7.0888</c:v>
                </c:pt>
                <c:pt idx="44">
                  <c:v>3.6707000000000001</c:v>
                </c:pt>
                <c:pt idx="45">
                  <c:v>3.6208</c:v>
                </c:pt>
                <c:pt idx="46">
                  <c:v>3.2574000000000001</c:v>
                </c:pt>
                <c:pt idx="47">
                  <c:v>2.2035</c:v>
                </c:pt>
                <c:pt idx="48">
                  <c:v>3.1516000000000002</c:v>
                </c:pt>
                <c:pt idx="49">
                  <c:v>2.3014000000000001</c:v>
                </c:pt>
                <c:pt idx="50">
                  <c:v>2.3353000000000002</c:v>
                </c:pt>
                <c:pt idx="51">
                  <c:v>2.5747</c:v>
                </c:pt>
                <c:pt idx="52">
                  <c:v>3.2974999999999999</c:v>
                </c:pt>
                <c:pt idx="53">
                  <c:v>3.0274000000000001</c:v>
                </c:pt>
                <c:pt idx="54">
                  <c:v>4.3052000000000001</c:v>
                </c:pt>
                <c:pt idx="55">
                  <c:v>3.5156999999999998</c:v>
                </c:pt>
                <c:pt idx="56">
                  <c:v>4.6772</c:v>
                </c:pt>
                <c:pt idx="57">
                  <c:v>3.0112999999999999</c:v>
                </c:pt>
                <c:pt idx="58">
                  <c:v>4.5338000000000003</c:v>
                </c:pt>
                <c:pt idx="59">
                  <c:v>4.2759</c:v>
                </c:pt>
                <c:pt idx="60">
                  <c:v>2.7290999999999999</c:v>
                </c:pt>
                <c:pt idx="61">
                  <c:v>2.5958000000000001</c:v>
                </c:pt>
                <c:pt idx="62">
                  <c:v>3.9887000000000001</c:v>
                </c:pt>
                <c:pt idx="63">
                  <c:v>5.4816000000000003</c:v>
                </c:pt>
                <c:pt idx="64">
                  <c:v>5.3886000000000003</c:v>
                </c:pt>
                <c:pt idx="65">
                  <c:v>4.1849999999999996</c:v>
                </c:pt>
                <c:pt idx="66">
                  <c:v>4.03</c:v>
                </c:pt>
                <c:pt idx="67">
                  <c:v>3.0125000000000002</c:v>
                </c:pt>
                <c:pt idx="68">
                  <c:v>2.7764000000000002</c:v>
                </c:pt>
                <c:pt idx="69">
                  <c:v>2.4218999999999999</c:v>
                </c:pt>
                <c:pt idx="70">
                  <c:v>2.9136000000000002</c:v>
                </c:pt>
                <c:pt idx="71">
                  <c:v>2.5388000000000002</c:v>
                </c:pt>
                <c:pt idx="72">
                  <c:v>3.1185999999999998</c:v>
                </c:pt>
                <c:pt idx="73">
                  <c:v>3.6496</c:v>
                </c:pt>
                <c:pt idx="74">
                  <c:v>4.6254</c:v>
                </c:pt>
                <c:pt idx="75">
                  <c:v>2.9022000000000001</c:v>
                </c:pt>
                <c:pt idx="76">
                  <c:v>3.8172999999999999</c:v>
                </c:pt>
                <c:pt idx="77">
                  <c:v>2.9590000000000001</c:v>
                </c:pt>
                <c:pt idx="78">
                  <c:v>3.5634999999999999</c:v>
                </c:pt>
                <c:pt idx="79">
                  <c:v>3.3129</c:v>
                </c:pt>
                <c:pt idx="80">
                  <c:v>2.746</c:v>
                </c:pt>
                <c:pt idx="81">
                  <c:v>2.3376000000000001</c:v>
                </c:pt>
                <c:pt idx="82">
                  <c:v>3.0939000000000001</c:v>
                </c:pt>
                <c:pt idx="83">
                  <c:v>2.9403000000000001</c:v>
                </c:pt>
                <c:pt idx="84">
                  <c:v>3.3349000000000002</c:v>
                </c:pt>
                <c:pt idx="85">
                  <c:v>2.5377999999999998</c:v>
                </c:pt>
                <c:pt idx="86">
                  <c:v>3.3462000000000001</c:v>
                </c:pt>
                <c:pt idx="87">
                  <c:v>2.8121</c:v>
                </c:pt>
                <c:pt idx="88">
                  <c:v>4.3414999999999999</c:v>
                </c:pt>
                <c:pt idx="89">
                  <c:v>3.2818000000000001</c:v>
                </c:pt>
                <c:pt idx="90">
                  <c:v>3.3157999999999999</c:v>
                </c:pt>
                <c:pt idx="91">
                  <c:v>3.1452</c:v>
                </c:pt>
                <c:pt idx="92">
                  <c:v>3.2336</c:v>
                </c:pt>
                <c:pt idx="93">
                  <c:v>3.1859999999999999</c:v>
                </c:pt>
                <c:pt idx="94">
                  <c:v>2.7254</c:v>
                </c:pt>
                <c:pt idx="95">
                  <c:v>2.6230000000000002</c:v>
                </c:pt>
                <c:pt idx="96">
                  <c:v>2.2111999999999998</c:v>
                </c:pt>
                <c:pt idx="97">
                  <c:v>2.5806</c:v>
                </c:pt>
                <c:pt idx="98">
                  <c:v>3.1928000000000001</c:v>
                </c:pt>
                <c:pt idx="99">
                  <c:v>4.8807</c:v>
                </c:pt>
                <c:pt idx="100">
                  <c:v>3.8271000000000002</c:v>
                </c:pt>
                <c:pt idx="101">
                  <c:v>4.6318999999999999</c:v>
                </c:pt>
                <c:pt idx="102">
                  <c:v>7.6824000000000003</c:v>
                </c:pt>
                <c:pt idx="103">
                  <c:v>7.0092999999999996</c:v>
                </c:pt>
                <c:pt idx="104">
                  <c:v>5.8754999999999997</c:v>
                </c:pt>
                <c:pt idx="105">
                  <c:v>5.4394</c:v>
                </c:pt>
                <c:pt idx="106">
                  <c:v>3.7113</c:v>
                </c:pt>
                <c:pt idx="107">
                  <c:v>4.4477000000000002</c:v>
                </c:pt>
                <c:pt idx="108">
                  <c:v>4.7103000000000002</c:v>
                </c:pt>
                <c:pt idx="109">
                  <c:v>5.8385999999999996</c:v>
                </c:pt>
                <c:pt idx="110">
                  <c:v>4.6197999999999997</c:v>
                </c:pt>
                <c:pt idx="111">
                  <c:v>4.9363999999999999</c:v>
                </c:pt>
                <c:pt idx="112">
                  <c:v>3.3509000000000002</c:v>
                </c:pt>
                <c:pt idx="113">
                  <c:v>3.3250000000000002</c:v>
                </c:pt>
                <c:pt idx="114">
                  <c:v>3.7239</c:v>
                </c:pt>
                <c:pt idx="115">
                  <c:v>2.8283999999999998</c:v>
                </c:pt>
                <c:pt idx="116">
                  <c:v>2.6797</c:v>
                </c:pt>
                <c:pt idx="117">
                  <c:v>2.6332</c:v>
                </c:pt>
                <c:pt idx="118">
                  <c:v>4.1048999999999998</c:v>
                </c:pt>
                <c:pt idx="119">
                  <c:v>2.4228000000000001</c:v>
                </c:pt>
                <c:pt idx="120">
                  <c:v>3.2610999999999999</c:v>
                </c:pt>
                <c:pt idx="121">
                  <c:v>2.3839999999999999</c:v>
                </c:pt>
                <c:pt idx="122">
                  <c:v>2.5611999999999999</c:v>
                </c:pt>
                <c:pt idx="123">
                  <c:v>2.3298000000000001</c:v>
                </c:pt>
                <c:pt idx="124">
                  <c:v>2.4300000000000002</c:v>
                </c:pt>
                <c:pt idx="125">
                  <c:v>2.0145</c:v>
                </c:pt>
                <c:pt idx="126">
                  <c:v>2.3982999999999999</c:v>
                </c:pt>
                <c:pt idx="127">
                  <c:v>2.2496999999999998</c:v>
                </c:pt>
                <c:pt idx="128">
                  <c:v>2.2158000000000002</c:v>
                </c:pt>
                <c:pt idx="129">
                  <c:v>3.4167000000000001</c:v>
                </c:pt>
                <c:pt idx="130">
                  <c:v>2.4554999999999998</c:v>
                </c:pt>
                <c:pt idx="131">
                  <c:v>3.4765000000000001</c:v>
                </c:pt>
                <c:pt idx="132">
                  <c:v>2.8174000000000001</c:v>
                </c:pt>
                <c:pt idx="133">
                  <c:v>2.5697000000000001</c:v>
                </c:pt>
                <c:pt idx="134">
                  <c:v>2.4262000000000001</c:v>
                </c:pt>
                <c:pt idx="135">
                  <c:v>4.2027999999999999</c:v>
                </c:pt>
                <c:pt idx="136">
                  <c:v>5.1364999999999998</c:v>
                </c:pt>
                <c:pt idx="137">
                  <c:v>5.2477</c:v>
                </c:pt>
                <c:pt idx="138">
                  <c:v>3.2770999999999999</c:v>
                </c:pt>
                <c:pt idx="139">
                  <c:v>3.3451</c:v>
                </c:pt>
                <c:pt idx="140">
                  <c:v>2.8132999999999999</c:v>
                </c:pt>
                <c:pt idx="141">
                  <c:v>3.8319999999999999</c:v>
                </c:pt>
                <c:pt idx="142">
                  <c:v>3.9409999999999998</c:v>
                </c:pt>
                <c:pt idx="143">
                  <c:v>2.2427999999999999</c:v>
                </c:pt>
                <c:pt idx="144">
                  <c:v>2.0983999999999998</c:v>
                </c:pt>
                <c:pt idx="145">
                  <c:v>2.4039999999999999</c:v>
                </c:pt>
                <c:pt idx="146">
                  <c:v>2.0371000000000001</c:v>
                </c:pt>
                <c:pt idx="147">
                  <c:v>3.1694</c:v>
                </c:pt>
                <c:pt idx="148">
                  <c:v>6.7447999999999997</c:v>
                </c:pt>
                <c:pt idx="149">
                  <c:v>5.3281000000000001</c:v>
                </c:pt>
                <c:pt idx="150">
                  <c:v>5.1806000000000001</c:v>
                </c:pt>
                <c:pt idx="151">
                  <c:v>3.7482000000000002</c:v>
                </c:pt>
                <c:pt idx="152">
                  <c:v>2.5716000000000001</c:v>
                </c:pt>
                <c:pt idx="153">
                  <c:v>3.8458999999999999</c:v>
                </c:pt>
                <c:pt idx="154">
                  <c:v>3.2966000000000002</c:v>
                </c:pt>
                <c:pt idx="155">
                  <c:v>3.1852999999999998</c:v>
                </c:pt>
                <c:pt idx="156">
                  <c:v>4.0437000000000003</c:v>
                </c:pt>
                <c:pt idx="157">
                  <c:v>3.7846000000000002</c:v>
                </c:pt>
                <c:pt idx="158">
                  <c:v>3.2557</c:v>
                </c:pt>
                <c:pt idx="159">
                  <c:v>2.319</c:v>
                </c:pt>
                <c:pt idx="160">
                  <c:v>3.2654000000000001</c:v>
                </c:pt>
                <c:pt idx="161">
                  <c:v>2.4363000000000001</c:v>
                </c:pt>
                <c:pt idx="162">
                  <c:v>2.9001000000000001</c:v>
                </c:pt>
                <c:pt idx="163">
                  <c:v>4.1318999999999999</c:v>
                </c:pt>
                <c:pt idx="164">
                  <c:v>2.9994000000000001</c:v>
                </c:pt>
                <c:pt idx="165">
                  <c:v>5.52</c:v>
                </c:pt>
                <c:pt idx="166">
                  <c:v>9.9571000000000005</c:v>
                </c:pt>
                <c:pt idx="167">
                  <c:v>3.3538999999999999</c:v>
                </c:pt>
                <c:pt idx="168">
                  <c:v>4.1573000000000002</c:v>
                </c:pt>
                <c:pt idx="169">
                  <c:v>2.1839</c:v>
                </c:pt>
                <c:pt idx="170">
                  <c:v>2.4335</c:v>
                </c:pt>
                <c:pt idx="171">
                  <c:v>2.6353</c:v>
                </c:pt>
                <c:pt idx="172">
                  <c:v>2.1482000000000001</c:v>
                </c:pt>
                <c:pt idx="173">
                  <c:v>2.4125999999999999</c:v>
                </c:pt>
                <c:pt idx="174">
                  <c:v>2.9472</c:v>
                </c:pt>
                <c:pt idx="175">
                  <c:v>2.3140999999999998</c:v>
                </c:pt>
                <c:pt idx="176">
                  <c:v>2.0528</c:v>
                </c:pt>
                <c:pt idx="177">
                  <c:v>3.3197000000000001</c:v>
                </c:pt>
                <c:pt idx="178">
                  <c:v>3.3879000000000001</c:v>
                </c:pt>
                <c:pt idx="179">
                  <c:v>2.8043</c:v>
                </c:pt>
                <c:pt idx="180">
                  <c:v>3.7829000000000002</c:v>
                </c:pt>
                <c:pt idx="181">
                  <c:v>3.3412000000000002</c:v>
                </c:pt>
                <c:pt idx="182">
                  <c:v>3.2681</c:v>
                </c:pt>
                <c:pt idx="183">
                  <c:v>2.5518000000000001</c:v>
                </c:pt>
                <c:pt idx="184">
                  <c:v>1.6802999999999999</c:v>
                </c:pt>
                <c:pt idx="185">
                  <c:v>2.0988000000000002</c:v>
                </c:pt>
                <c:pt idx="186">
                  <c:v>2.3913000000000002</c:v>
                </c:pt>
                <c:pt idx="187">
                  <c:v>3.1922000000000001</c:v>
                </c:pt>
                <c:pt idx="188">
                  <c:v>4.3563999999999998</c:v>
                </c:pt>
                <c:pt idx="189">
                  <c:v>3.6299000000000001</c:v>
                </c:pt>
                <c:pt idx="190">
                  <c:v>2.9237000000000002</c:v>
                </c:pt>
                <c:pt idx="191">
                  <c:v>2.5756999999999999</c:v>
                </c:pt>
                <c:pt idx="192">
                  <c:v>2.7378999999999998</c:v>
                </c:pt>
                <c:pt idx="193">
                  <c:v>3.0533999999999999</c:v>
                </c:pt>
                <c:pt idx="194">
                  <c:v>2.7191999999999998</c:v>
                </c:pt>
                <c:pt idx="195">
                  <c:v>2.3933</c:v>
                </c:pt>
                <c:pt idx="196">
                  <c:v>2.569</c:v>
                </c:pt>
                <c:pt idx="197">
                  <c:v>1.9369000000000001</c:v>
                </c:pt>
                <c:pt idx="198">
                  <c:v>2.9575</c:v>
                </c:pt>
                <c:pt idx="199">
                  <c:v>2.5836000000000001</c:v>
                </c:pt>
                <c:pt idx="200">
                  <c:v>4.6166</c:v>
                </c:pt>
                <c:pt idx="201">
                  <c:v>4.6691000000000003</c:v>
                </c:pt>
                <c:pt idx="202">
                  <c:v>2.7808999999999999</c:v>
                </c:pt>
                <c:pt idx="203">
                  <c:v>2.4114</c:v>
                </c:pt>
                <c:pt idx="204">
                  <c:v>2.3794</c:v>
                </c:pt>
                <c:pt idx="205">
                  <c:v>2.1162000000000001</c:v>
                </c:pt>
                <c:pt idx="206">
                  <c:v>3.6345000000000001</c:v>
                </c:pt>
                <c:pt idx="207">
                  <c:v>4.4307999999999996</c:v>
                </c:pt>
                <c:pt idx="208">
                  <c:v>2.5623</c:v>
                </c:pt>
                <c:pt idx="209">
                  <c:v>2.8424</c:v>
                </c:pt>
                <c:pt idx="210">
                  <c:v>2.8355999999999999</c:v>
                </c:pt>
                <c:pt idx="211">
                  <c:v>4.5231000000000003</c:v>
                </c:pt>
                <c:pt idx="212">
                  <c:v>3.2692000000000001</c:v>
                </c:pt>
                <c:pt idx="213">
                  <c:v>2.5329999999999999</c:v>
                </c:pt>
                <c:pt idx="214">
                  <c:v>2.4091</c:v>
                </c:pt>
                <c:pt idx="215">
                  <c:v>1.9955000000000001</c:v>
                </c:pt>
                <c:pt idx="216">
                  <c:v>2.0341999999999998</c:v>
                </c:pt>
                <c:pt idx="217">
                  <c:v>1.8196000000000001</c:v>
                </c:pt>
                <c:pt idx="218">
                  <c:v>2.4201000000000001</c:v>
                </c:pt>
                <c:pt idx="219">
                  <c:v>2.1095000000000002</c:v>
                </c:pt>
                <c:pt idx="220">
                  <c:v>5.1750999999999996</c:v>
                </c:pt>
                <c:pt idx="221">
                  <c:v>3.1741000000000001</c:v>
                </c:pt>
                <c:pt idx="222">
                  <c:v>2.3860999999999999</c:v>
                </c:pt>
                <c:pt idx="223">
                  <c:v>2.1398000000000001</c:v>
                </c:pt>
                <c:pt idx="224">
                  <c:v>1.8814</c:v>
                </c:pt>
                <c:pt idx="225">
                  <c:v>3.1391</c:v>
                </c:pt>
                <c:pt idx="226">
                  <c:v>2.226</c:v>
                </c:pt>
                <c:pt idx="227">
                  <c:v>2.6983000000000001</c:v>
                </c:pt>
                <c:pt idx="228">
                  <c:v>2.7021999999999999</c:v>
                </c:pt>
                <c:pt idx="229">
                  <c:v>5.7087000000000003</c:v>
                </c:pt>
                <c:pt idx="230">
                  <c:v>6.4695</c:v>
                </c:pt>
                <c:pt idx="231">
                  <c:v>3.6089000000000002</c:v>
                </c:pt>
                <c:pt idx="232">
                  <c:v>2.6276000000000002</c:v>
                </c:pt>
                <c:pt idx="233">
                  <c:v>3.3972000000000002</c:v>
                </c:pt>
                <c:pt idx="234">
                  <c:v>5.3529999999999998</c:v>
                </c:pt>
                <c:pt idx="235">
                  <c:v>4.9935</c:v>
                </c:pt>
                <c:pt idx="236">
                  <c:v>3.0739999999999998</c:v>
                </c:pt>
                <c:pt idx="237">
                  <c:v>4.2949000000000002</c:v>
                </c:pt>
                <c:pt idx="238">
                  <c:v>4.0274000000000001</c:v>
                </c:pt>
                <c:pt idx="239">
                  <c:v>2.2644000000000002</c:v>
                </c:pt>
                <c:pt idx="240">
                  <c:v>2.6884999999999999</c:v>
                </c:pt>
                <c:pt idx="241">
                  <c:v>2.9297</c:v>
                </c:pt>
                <c:pt idx="242">
                  <c:v>2.2170999999999998</c:v>
                </c:pt>
                <c:pt idx="243">
                  <c:v>2.5602999999999998</c:v>
                </c:pt>
                <c:pt idx="244">
                  <c:v>5.7035</c:v>
                </c:pt>
                <c:pt idx="245">
                  <c:v>4.9367000000000001</c:v>
                </c:pt>
                <c:pt idx="246">
                  <c:v>4.8422000000000001</c:v>
                </c:pt>
                <c:pt idx="247">
                  <c:v>3.6901999999999999</c:v>
                </c:pt>
                <c:pt idx="248">
                  <c:v>2.3279999999999998</c:v>
                </c:pt>
                <c:pt idx="249">
                  <c:v>2.9912999999999998</c:v>
                </c:pt>
                <c:pt idx="250">
                  <c:v>3.2656000000000001</c:v>
                </c:pt>
                <c:pt idx="251">
                  <c:v>4.0011000000000001</c:v>
                </c:pt>
              </c:numCache>
            </c:numRef>
          </c:val>
          <c:smooth val="1"/>
          <c:extLst>
            <c:ext xmlns:c16="http://schemas.microsoft.com/office/drawing/2014/chart" uri="{C3380CC4-5D6E-409C-BE32-E72D297353CC}">
              <c16:uniqueId val="{00000000-8B20-D140-9887-CA5DEFB2910D}"/>
            </c:ext>
          </c:extLst>
        </c:ser>
        <c:dLbls>
          <c:showLegendKey val="0"/>
          <c:showVal val="0"/>
          <c:showCatName val="0"/>
          <c:showSerName val="0"/>
          <c:showPercent val="0"/>
          <c:showBubbleSize val="0"/>
        </c:dLbls>
        <c:smooth val="0"/>
        <c:axId val="301642879"/>
        <c:axId val="301644671"/>
      </c:lineChart>
      <c:dateAx>
        <c:axId val="301642879"/>
        <c:scaling>
          <c:orientation val="minMax"/>
        </c:scaling>
        <c:delete val="0"/>
        <c:axPos val="b"/>
        <c:numFmt formatCode="[$]mmm\-yy;@" c16r2:formatcode2="[$-en-PL,1]mmm\-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01644671"/>
        <c:crosses val="autoZero"/>
        <c:auto val="1"/>
        <c:lblOffset val="100"/>
        <c:baseTimeUnit val="days"/>
        <c:majorUnit val="31"/>
        <c:majorTimeUnit val="days"/>
        <c:minorUnit val="31"/>
        <c:minorTimeUnit val="days"/>
      </c:dateAx>
      <c:valAx>
        <c:axId val="301644671"/>
        <c:scaling>
          <c:orientation val="minMax"/>
          <c:max val="10"/>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301642879"/>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Relationship Between</a:t>
            </a:r>
            <a:r>
              <a:rPr lang="en-US" b="1" baseline="0"/>
              <a:t> Daily High and Low Prices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L"/>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53097589018186886"/>
                  <c:y val="-6.1659284776902884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L"/>
                </a:p>
              </c:txPr>
            </c:trendlineLbl>
          </c:trendline>
          <c:xVal>
            <c:numRef>
              <c:f>Amazon_stock!$C$2:$C$253</c:f>
              <c:numCache>
                <c:formatCode>General</c:formatCode>
                <c:ptCount val="252"/>
                <c:pt idx="0">
                  <c:v>3248.9499510000001</c:v>
                </c:pt>
                <c:pt idx="1">
                  <c:v>3232</c:v>
                </c:pt>
                <c:pt idx="2">
                  <c:v>3228.639893</c:v>
                </c:pt>
                <c:pt idx="3">
                  <c:v>3198.209961</c:v>
                </c:pt>
                <c:pt idx="4">
                  <c:v>3180.76001</c:v>
                </c:pt>
                <c:pt idx="5">
                  <c:v>3184.1298830000001</c:v>
                </c:pt>
                <c:pt idx="6">
                  <c:v>3174.429932</c:v>
                </c:pt>
                <c:pt idx="7">
                  <c:v>3142.1000979999999</c:v>
                </c:pt>
                <c:pt idx="8">
                  <c:v>3118.669922</c:v>
                </c:pt>
                <c:pt idx="9">
                  <c:v>3190.469971</c:v>
                </c:pt>
                <c:pt idx="10">
                  <c:v>3188.5</c:v>
                </c:pt>
                <c:pt idx="11">
                  <c:v>3247</c:v>
                </c:pt>
                <c:pt idx="12">
                  <c:v>3263.51001</c:v>
                </c:pt>
                <c:pt idx="13">
                  <c:v>3249.419922</c:v>
                </c:pt>
                <c:pt idx="14">
                  <c:v>3226.969971</c:v>
                </c:pt>
                <c:pt idx="15">
                  <c:v>3222</c:v>
                </c:pt>
                <c:pt idx="16">
                  <c:v>3210.1298830000001</c:v>
                </c:pt>
                <c:pt idx="17">
                  <c:v>3202</c:v>
                </c:pt>
                <c:pt idx="18">
                  <c:v>3304</c:v>
                </c:pt>
                <c:pt idx="19">
                  <c:v>3350.6499020000001</c:v>
                </c:pt>
                <c:pt idx="20">
                  <c:v>3342.1000979999999</c:v>
                </c:pt>
                <c:pt idx="21">
                  <c:v>3282.919922</c:v>
                </c:pt>
                <c:pt idx="22">
                  <c:v>3272</c:v>
                </c:pt>
                <c:pt idx="23">
                  <c:v>3223.3798830000001</c:v>
                </c:pt>
                <c:pt idx="24">
                  <c:v>3197.51001</c:v>
                </c:pt>
                <c:pt idx="25">
                  <c:v>3208.540039</c:v>
                </c:pt>
                <c:pt idx="26">
                  <c:v>3190.639893</c:v>
                </c:pt>
                <c:pt idx="27">
                  <c:v>3156.3798830000001</c:v>
                </c:pt>
                <c:pt idx="28">
                  <c:v>3142.139893</c:v>
                </c:pt>
                <c:pt idx="29">
                  <c:v>3189.9499510000001</c:v>
                </c:pt>
                <c:pt idx="30">
                  <c:v>3178</c:v>
                </c:pt>
                <c:pt idx="31">
                  <c:v>3142.5500489999999</c:v>
                </c:pt>
                <c:pt idx="32">
                  <c:v>3145</c:v>
                </c:pt>
                <c:pt idx="33">
                  <c:v>3279.8000489999999</c:v>
                </c:pt>
                <c:pt idx="34">
                  <c:v>3348.5500489999999</c:v>
                </c:pt>
                <c:pt idx="35">
                  <c:v>3321.9099120000001</c:v>
                </c:pt>
                <c:pt idx="36">
                  <c:v>3363.889893</c:v>
                </c:pt>
                <c:pt idx="37">
                  <c:v>3338</c:v>
                </c:pt>
                <c:pt idx="38">
                  <c:v>3346.5200199999999</c:v>
                </c:pt>
                <c:pt idx="39">
                  <c:v>3301.679932</c:v>
                </c:pt>
                <c:pt idx="40">
                  <c:v>3236.98999</c:v>
                </c:pt>
                <c:pt idx="41">
                  <c:v>3350.26001</c:v>
                </c:pt>
                <c:pt idx="42">
                  <c:v>3427.73999</c:v>
                </c:pt>
                <c:pt idx="43">
                  <c:v>3434</c:v>
                </c:pt>
                <c:pt idx="44">
                  <c:v>3347</c:v>
                </c:pt>
                <c:pt idx="45">
                  <c:v>3377</c:v>
                </c:pt>
                <c:pt idx="46">
                  <c:v>3365</c:v>
                </c:pt>
                <c:pt idx="47">
                  <c:v>3338</c:v>
                </c:pt>
                <c:pt idx="48">
                  <c:v>3317.9499510000001</c:v>
                </c:pt>
                <c:pt idx="49">
                  <c:v>3292</c:v>
                </c:pt>
                <c:pt idx="50">
                  <c:v>3280.25</c:v>
                </c:pt>
                <c:pt idx="51">
                  <c:v>3308.3000489999999</c:v>
                </c:pt>
                <c:pt idx="52">
                  <c:v>3320.9099120000001</c:v>
                </c:pt>
                <c:pt idx="53">
                  <c:v>3338</c:v>
                </c:pt>
                <c:pt idx="54">
                  <c:v>3333.5</c:v>
                </c:pt>
                <c:pt idx="55">
                  <c:v>3232.320068</c:v>
                </c:pt>
                <c:pt idx="56">
                  <c:v>3204.7299800000001</c:v>
                </c:pt>
                <c:pt idx="57">
                  <c:v>3171.2299800000001</c:v>
                </c:pt>
                <c:pt idx="58">
                  <c:v>3178.26001</c:v>
                </c:pt>
                <c:pt idx="59">
                  <c:v>3122.4399410000001</c:v>
                </c:pt>
                <c:pt idx="60">
                  <c:v>3149.5600589999999</c:v>
                </c:pt>
                <c:pt idx="61">
                  <c:v>3163.5200199999999</c:v>
                </c:pt>
                <c:pt idx="62">
                  <c:v>3107.780029</c:v>
                </c:pt>
                <c:pt idx="63">
                  <c:v>3058.1298830000001</c:v>
                </c:pt>
                <c:pt idx="64">
                  <c:v>3009</c:v>
                </c:pt>
                <c:pt idx="65">
                  <c:v>3064.5900879999999</c:v>
                </c:pt>
                <c:pt idx="66">
                  <c:v>3090.959961</c:v>
                </c:pt>
                <c:pt idx="67">
                  <c:v>3116.459961</c:v>
                </c:pt>
                <c:pt idx="68">
                  <c:v>3131.780029</c:v>
                </c:pt>
                <c:pt idx="69">
                  <c:v>3098.9799800000001</c:v>
                </c:pt>
                <c:pt idx="70">
                  <c:v>3082.23999</c:v>
                </c:pt>
                <c:pt idx="71">
                  <c:v>3128.9099120000001</c:v>
                </c:pt>
                <c:pt idx="72">
                  <c:v>3173.0500489999999</c:v>
                </c:pt>
                <c:pt idx="73">
                  <c:v>3116.6298830000001</c:v>
                </c:pt>
                <c:pt idx="74">
                  <c:v>3077.290039</c:v>
                </c:pt>
                <c:pt idx="75">
                  <c:v>3126.580078</c:v>
                </c:pt>
                <c:pt idx="76">
                  <c:v>3182</c:v>
                </c:pt>
                <c:pt idx="77">
                  <c:v>3160.3100589999999</c:v>
                </c:pt>
                <c:pt idx="78">
                  <c:v>3109.780029</c:v>
                </c:pt>
                <c:pt idx="79">
                  <c:v>3056.6599120000001</c:v>
                </c:pt>
                <c:pt idx="80">
                  <c:v>3091.25</c:v>
                </c:pt>
                <c:pt idx="81">
                  <c:v>3073</c:v>
                </c:pt>
                <c:pt idx="82">
                  <c:v>3119.330078</c:v>
                </c:pt>
                <c:pt idx="83">
                  <c:v>3162.4399410000001</c:v>
                </c:pt>
                <c:pt idx="84">
                  <c:v>3235.959961</c:v>
                </c:pt>
                <c:pt idx="85">
                  <c:v>3247.3100589999999</c:v>
                </c:pt>
                <c:pt idx="86">
                  <c:v>3303.610107</c:v>
                </c:pt>
                <c:pt idx="87">
                  <c:v>3324.5</c:v>
                </c:pt>
                <c:pt idx="88">
                  <c:v>3372.1999510000001</c:v>
                </c:pt>
                <c:pt idx="89">
                  <c:v>3395.040039</c:v>
                </c:pt>
                <c:pt idx="90">
                  <c:v>3432</c:v>
                </c:pt>
                <c:pt idx="91">
                  <c:v>3404.1298830000001</c:v>
                </c:pt>
                <c:pt idx="92">
                  <c:v>3397</c:v>
                </c:pt>
                <c:pt idx="93">
                  <c:v>3406.8000489999999</c:v>
                </c:pt>
                <c:pt idx="94">
                  <c:v>3435.929932</c:v>
                </c:pt>
                <c:pt idx="95">
                  <c:v>3382.98999</c:v>
                </c:pt>
                <c:pt idx="96">
                  <c:v>3362.860107</c:v>
                </c:pt>
                <c:pt idx="97">
                  <c:v>3372.8701169999999</c:v>
                </c:pt>
                <c:pt idx="98">
                  <c:v>3375</c:v>
                </c:pt>
                <c:pt idx="99">
                  <c:v>3428.4499510000001</c:v>
                </c:pt>
                <c:pt idx="100">
                  <c:v>3460</c:v>
                </c:pt>
                <c:pt idx="101">
                  <c:v>3489.8798830000001</c:v>
                </c:pt>
                <c:pt idx="102">
                  <c:v>3514.4499510000001</c:v>
                </c:pt>
                <c:pt idx="103">
                  <c:v>3554</c:v>
                </c:pt>
                <c:pt idx="104">
                  <c:v>3486.6499020000001</c:v>
                </c:pt>
                <c:pt idx="105">
                  <c:v>3367.9799800000001</c:v>
                </c:pt>
                <c:pt idx="106">
                  <c:v>3354.6999510000001</c:v>
                </c:pt>
                <c:pt idx="107">
                  <c:v>3314.3999020000001</c:v>
                </c:pt>
                <c:pt idx="108">
                  <c:v>3330.889893</c:v>
                </c:pt>
                <c:pt idx="109">
                  <c:v>3283</c:v>
                </c:pt>
                <c:pt idx="110">
                  <c:v>3238</c:v>
                </c:pt>
                <c:pt idx="111">
                  <c:v>3207.9399410000001</c:v>
                </c:pt>
                <c:pt idx="112">
                  <c:v>3203.8400879999999</c:v>
                </c:pt>
                <c:pt idx="113">
                  <c:v>3228.860107</c:v>
                </c:pt>
                <c:pt idx="114">
                  <c:v>3292.75</c:v>
                </c:pt>
                <c:pt idx="115">
                  <c:v>3312</c:v>
                </c:pt>
                <c:pt idx="116">
                  <c:v>3234.75</c:v>
                </c:pt>
                <c:pt idx="117">
                  <c:v>3259.679932</c:v>
                </c:pt>
                <c:pt idx="118">
                  <c:v>3256.6899410000001</c:v>
                </c:pt>
                <c:pt idx="119">
                  <c:v>3257.9499510000001</c:v>
                </c:pt>
                <c:pt idx="120">
                  <c:v>3279.820068</c:v>
                </c:pt>
                <c:pt idx="121">
                  <c:v>3295.7299800000001</c:v>
                </c:pt>
                <c:pt idx="122">
                  <c:v>3260.360107</c:v>
                </c:pt>
                <c:pt idx="123">
                  <c:v>3247.98999</c:v>
                </c:pt>
                <c:pt idx="124">
                  <c:v>3250.9799800000001</c:v>
                </c:pt>
                <c:pt idx="125">
                  <c:v>3235</c:v>
                </c:pt>
                <c:pt idx="126">
                  <c:v>3214.4399410000001</c:v>
                </c:pt>
                <c:pt idx="127">
                  <c:v>3221</c:v>
                </c:pt>
                <c:pt idx="128">
                  <c:v>3208</c:v>
                </c:pt>
                <c:pt idx="129">
                  <c:v>3279.530029</c:v>
                </c:pt>
                <c:pt idx="130">
                  <c:v>3297.580078</c:v>
                </c:pt>
                <c:pt idx="131">
                  <c:v>3351</c:v>
                </c:pt>
                <c:pt idx="132">
                  <c:v>3366.580078</c:v>
                </c:pt>
                <c:pt idx="133">
                  <c:v>3385</c:v>
                </c:pt>
                <c:pt idx="134">
                  <c:v>3396.98999</c:v>
                </c:pt>
                <c:pt idx="135">
                  <c:v>3426.3500979999999</c:v>
                </c:pt>
                <c:pt idx="136">
                  <c:v>3497.1999510000001</c:v>
                </c:pt>
                <c:pt idx="137">
                  <c:v>3507</c:v>
                </c:pt>
                <c:pt idx="138">
                  <c:v>3482</c:v>
                </c:pt>
                <c:pt idx="139">
                  <c:v>3523.780029</c:v>
                </c:pt>
                <c:pt idx="140">
                  <c:v>3521</c:v>
                </c:pt>
                <c:pt idx="141">
                  <c:v>3524.860107</c:v>
                </c:pt>
                <c:pt idx="142">
                  <c:v>3464.820068</c:v>
                </c:pt>
                <c:pt idx="143">
                  <c:v>3448</c:v>
                </c:pt>
                <c:pt idx="144">
                  <c:v>3456.030029</c:v>
                </c:pt>
                <c:pt idx="145">
                  <c:v>3471.6000979999999</c:v>
                </c:pt>
                <c:pt idx="146">
                  <c:v>3457</c:v>
                </c:pt>
                <c:pt idx="147">
                  <c:v>3511.719971</c:v>
                </c:pt>
                <c:pt idx="148">
                  <c:v>3685.4799800000001</c:v>
                </c:pt>
                <c:pt idx="149">
                  <c:v>3734.1999510000001</c:v>
                </c:pt>
                <c:pt idx="150">
                  <c:v>3759.98999</c:v>
                </c:pt>
                <c:pt idx="151">
                  <c:v>3748</c:v>
                </c:pt>
                <c:pt idx="152">
                  <c:v>3757.290039</c:v>
                </c:pt>
                <c:pt idx="153">
                  <c:v>3773.080078</c:v>
                </c:pt>
                <c:pt idx="154">
                  <c:v>3717.6599120000001</c:v>
                </c:pt>
                <c:pt idx="155">
                  <c:v>3695.3999020000001</c:v>
                </c:pt>
                <c:pt idx="156">
                  <c:v>3646.0600589999999</c:v>
                </c:pt>
                <c:pt idx="157">
                  <c:v>3550.209961</c:v>
                </c:pt>
                <c:pt idx="158">
                  <c:v>3592</c:v>
                </c:pt>
                <c:pt idx="159">
                  <c:v>3586.4499510000001</c:v>
                </c:pt>
                <c:pt idx="160">
                  <c:v>3640.0200199999999</c:v>
                </c:pt>
                <c:pt idx="161">
                  <c:v>3666.110107</c:v>
                </c:pt>
                <c:pt idx="162">
                  <c:v>3712.080078</c:v>
                </c:pt>
                <c:pt idx="163">
                  <c:v>3698.5</c:v>
                </c:pt>
                <c:pt idx="164">
                  <c:v>3658.419922</c:v>
                </c:pt>
                <c:pt idx="165">
                  <c:v>3637.9499510000001</c:v>
                </c:pt>
                <c:pt idx="166">
                  <c:v>3368.139893</c:v>
                </c:pt>
                <c:pt idx="167">
                  <c:v>3358.919922</c:v>
                </c:pt>
                <c:pt idx="168">
                  <c:v>3391</c:v>
                </c:pt>
                <c:pt idx="169">
                  <c:v>3388.8798830000001</c:v>
                </c:pt>
                <c:pt idx="170">
                  <c:v>3389</c:v>
                </c:pt>
                <c:pt idx="171">
                  <c:v>3375</c:v>
                </c:pt>
                <c:pt idx="172">
                  <c:v>3354.8798830000001</c:v>
                </c:pt>
                <c:pt idx="173">
                  <c:v>3358</c:v>
                </c:pt>
                <c:pt idx="174">
                  <c:v>3337.6999510000001</c:v>
                </c:pt>
                <c:pt idx="175">
                  <c:v>3314.51001</c:v>
                </c:pt>
                <c:pt idx="176">
                  <c:v>3306.070068</c:v>
                </c:pt>
                <c:pt idx="177">
                  <c:v>3300</c:v>
                </c:pt>
                <c:pt idx="178">
                  <c:v>3280.48999</c:v>
                </c:pt>
                <c:pt idx="179">
                  <c:v>3254.1000979999999</c:v>
                </c:pt>
                <c:pt idx="180">
                  <c:v>3233</c:v>
                </c:pt>
                <c:pt idx="181">
                  <c:v>3207.8100589999999</c:v>
                </c:pt>
                <c:pt idx="182">
                  <c:v>3280.8999020000001</c:v>
                </c:pt>
                <c:pt idx="183">
                  <c:v>3315.48999</c:v>
                </c:pt>
                <c:pt idx="184">
                  <c:v>3321</c:v>
                </c:pt>
                <c:pt idx="185">
                  <c:v>3332</c:v>
                </c:pt>
                <c:pt idx="186">
                  <c:v>3352.320068</c:v>
                </c:pt>
                <c:pt idx="187">
                  <c:v>3445</c:v>
                </c:pt>
                <c:pt idx="188">
                  <c:v>3472.580078</c:v>
                </c:pt>
                <c:pt idx="189">
                  <c:v>3527</c:v>
                </c:pt>
                <c:pt idx="190">
                  <c:v>3511.959961</c:v>
                </c:pt>
                <c:pt idx="191">
                  <c:v>3482.669922</c:v>
                </c:pt>
                <c:pt idx="192">
                  <c:v>3528.0900879999999</c:v>
                </c:pt>
                <c:pt idx="193">
                  <c:v>3545.6298830000001</c:v>
                </c:pt>
                <c:pt idx="194">
                  <c:v>3549.98999</c:v>
                </c:pt>
                <c:pt idx="195">
                  <c:v>3508.4499510000001</c:v>
                </c:pt>
                <c:pt idx="196">
                  <c:v>3497.959961</c:v>
                </c:pt>
                <c:pt idx="197">
                  <c:v>3486.8100589999999</c:v>
                </c:pt>
                <c:pt idx="198">
                  <c:v>3485.419922</c:v>
                </c:pt>
                <c:pt idx="199">
                  <c:v>3492.5500489999999</c:v>
                </c:pt>
                <c:pt idx="200">
                  <c:v>3497.4099120000001</c:v>
                </c:pt>
                <c:pt idx="201">
                  <c:v>3419</c:v>
                </c:pt>
                <c:pt idx="202">
                  <c:v>3379.6999510000001</c:v>
                </c:pt>
                <c:pt idx="203">
                  <c:v>3389</c:v>
                </c:pt>
                <c:pt idx="204">
                  <c:v>3428.959961</c:v>
                </c:pt>
                <c:pt idx="205">
                  <c:v>3429.26001</c:v>
                </c:pt>
                <c:pt idx="206">
                  <c:v>3415.570068</c:v>
                </c:pt>
                <c:pt idx="207">
                  <c:v>3369.1899410000001</c:v>
                </c:pt>
                <c:pt idx="208">
                  <c:v>3351.3000489999999</c:v>
                </c:pt>
                <c:pt idx="209">
                  <c:v>3327.8500979999999</c:v>
                </c:pt>
                <c:pt idx="210">
                  <c:v>3309.169922</c:v>
                </c:pt>
                <c:pt idx="211">
                  <c:v>3279.98999</c:v>
                </c:pt>
                <c:pt idx="212">
                  <c:v>3260.7299800000001</c:v>
                </c:pt>
                <c:pt idx="213">
                  <c:v>3264.3400879999999</c:v>
                </c:pt>
                <c:pt idx="214">
                  <c:v>3325.75</c:v>
                </c:pt>
                <c:pt idx="215">
                  <c:v>3321.429932</c:v>
                </c:pt>
                <c:pt idx="216">
                  <c:v>3292.5900879999999</c:v>
                </c:pt>
                <c:pt idx="217">
                  <c:v>3267.530029</c:v>
                </c:pt>
                <c:pt idx="218">
                  <c:v>3288.3798830000001</c:v>
                </c:pt>
                <c:pt idx="219">
                  <c:v>3312.6000979999999</c:v>
                </c:pt>
                <c:pt idx="220">
                  <c:v>3410.419922</c:v>
                </c:pt>
                <c:pt idx="221">
                  <c:v>3449.169922</c:v>
                </c:pt>
                <c:pt idx="222">
                  <c:v>3454.6899410000001</c:v>
                </c:pt>
                <c:pt idx="223">
                  <c:v>3462.860107</c:v>
                </c:pt>
                <c:pt idx="224">
                  <c:v>3440.280029</c:v>
                </c:pt>
                <c:pt idx="225">
                  <c:v>3429.8400879999999</c:v>
                </c:pt>
                <c:pt idx="226">
                  <c:v>3347.8000489999999</c:v>
                </c:pt>
                <c:pt idx="227">
                  <c:v>3416.1201169999999</c:v>
                </c:pt>
                <c:pt idx="228">
                  <c:v>3437</c:v>
                </c:pt>
                <c:pt idx="229">
                  <c:v>3479</c:v>
                </c:pt>
                <c:pt idx="230">
                  <c:v>3374.820068</c:v>
                </c:pt>
                <c:pt idx="231">
                  <c:v>3375.860107</c:v>
                </c:pt>
                <c:pt idx="232">
                  <c:v>3331.1201169999999</c:v>
                </c:pt>
                <c:pt idx="233">
                  <c:v>3394.919922</c:v>
                </c:pt>
                <c:pt idx="234">
                  <c:v>3498.6298830000001</c:v>
                </c:pt>
                <c:pt idx="235">
                  <c:v>3566.25</c:v>
                </c:pt>
                <c:pt idx="236">
                  <c:v>3579</c:v>
                </c:pt>
                <c:pt idx="237">
                  <c:v>3593.7700199999999</c:v>
                </c:pt>
                <c:pt idx="238">
                  <c:v>3605.4499510000001</c:v>
                </c:pt>
                <c:pt idx="239">
                  <c:v>3543.23999</c:v>
                </c:pt>
                <c:pt idx="240">
                  <c:v>3540.7299800000001</c:v>
                </c:pt>
                <c:pt idx="241">
                  <c:v>3593.8798830000001</c:v>
                </c:pt>
                <c:pt idx="242">
                  <c:v>3576.5</c:v>
                </c:pt>
                <c:pt idx="243">
                  <c:v>3587.25</c:v>
                </c:pt>
                <c:pt idx="244">
                  <c:v>3704.1999510000001</c:v>
                </c:pt>
                <c:pt idx="245">
                  <c:v>3762.1499020000001</c:v>
                </c:pt>
                <c:pt idx="246">
                  <c:v>3713.459961</c:v>
                </c:pt>
                <c:pt idx="247">
                  <c:v>3621.0500489999999</c:v>
                </c:pt>
                <c:pt idx="248">
                  <c:v>3613.639893</c:v>
                </c:pt>
                <c:pt idx="249">
                  <c:v>3633.5</c:v>
                </c:pt>
                <c:pt idx="250">
                  <c:v>3596</c:v>
                </c:pt>
                <c:pt idx="251">
                  <c:v>3585.7700199999999</c:v>
                </c:pt>
              </c:numCache>
            </c:numRef>
          </c:xVal>
          <c:yVal>
            <c:numRef>
              <c:f>Amazon_stock!$D$2:$D$253</c:f>
              <c:numCache>
                <c:formatCode>General</c:formatCode>
                <c:ptCount val="252"/>
                <c:pt idx="0">
                  <c:v>3157.179932</c:v>
                </c:pt>
                <c:pt idx="1">
                  <c:v>3173.26001</c:v>
                </c:pt>
                <c:pt idx="2">
                  <c:v>3181.3100589999999</c:v>
                </c:pt>
                <c:pt idx="3">
                  <c:v>3158.76001</c:v>
                </c:pt>
                <c:pt idx="4">
                  <c:v>3141.6899410000001</c:v>
                </c:pt>
                <c:pt idx="5">
                  <c:v>3120.0200199999999</c:v>
                </c:pt>
                <c:pt idx="6">
                  <c:v>3088</c:v>
                </c:pt>
                <c:pt idx="7">
                  <c:v>3076</c:v>
                </c:pt>
                <c:pt idx="8">
                  <c:v>3072.820068</c:v>
                </c:pt>
                <c:pt idx="9">
                  <c:v>3126</c:v>
                </c:pt>
                <c:pt idx="10">
                  <c:v>3130.48999</c:v>
                </c:pt>
                <c:pt idx="11">
                  <c:v>3163.679932</c:v>
                </c:pt>
                <c:pt idx="12">
                  <c:v>3221</c:v>
                </c:pt>
                <c:pt idx="13">
                  <c:v>3171.6000979999999</c:v>
                </c:pt>
                <c:pt idx="14">
                  <c:v>3166</c:v>
                </c:pt>
                <c:pt idx="15">
                  <c:v>3180.080078</c:v>
                </c:pt>
                <c:pt idx="16">
                  <c:v>3184.169922</c:v>
                </c:pt>
                <c:pt idx="17">
                  <c:v>3169</c:v>
                </c:pt>
                <c:pt idx="18">
                  <c:v>3172.6899410000001</c:v>
                </c:pt>
                <c:pt idx="19">
                  <c:v>3281.219971</c:v>
                </c:pt>
                <c:pt idx="20">
                  <c:v>3282.469971</c:v>
                </c:pt>
                <c:pt idx="21">
                  <c:v>3241.1999510000001</c:v>
                </c:pt>
                <c:pt idx="22">
                  <c:v>3144.0200199999999</c:v>
                </c:pt>
                <c:pt idx="23">
                  <c:v>3165.0600589999999</c:v>
                </c:pt>
                <c:pt idx="24">
                  <c:v>3131.1599120000001</c:v>
                </c:pt>
                <c:pt idx="25">
                  <c:v>3155</c:v>
                </c:pt>
                <c:pt idx="26">
                  <c:v>3142.1999510000001</c:v>
                </c:pt>
                <c:pt idx="27">
                  <c:v>3110</c:v>
                </c:pt>
                <c:pt idx="28">
                  <c:v>3086</c:v>
                </c:pt>
                <c:pt idx="29">
                  <c:v>3122.080078</c:v>
                </c:pt>
                <c:pt idx="30">
                  <c:v>3120.5900879999999</c:v>
                </c:pt>
                <c:pt idx="31">
                  <c:v>3095.169922</c:v>
                </c:pt>
                <c:pt idx="32">
                  <c:v>3096</c:v>
                </c:pt>
                <c:pt idx="33">
                  <c:v>3175</c:v>
                </c:pt>
                <c:pt idx="34">
                  <c:v>3289.570068</c:v>
                </c:pt>
                <c:pt idx="35">
                  <c:v>3283.1599120000001</c:v>
                </c:pt>
                <c:pt idx="36">
                  <c:v>3243.1499020000001</c:v>
                </c:pt>
                <c:pt idx="37">
                  <c:v>3282.8701169999999</c:v>
                </c:pt>
                <c:pt idx="38">
                  <c:v>3207.080078</c:v>
                </c:pt>
                <c:pt idx="39">
                  <c:v>3228.6899410000001</c:v>
                </c:pt>
                <c:pt idx="40">
                  <c:v>3184.5500489999999</c:v>
                </c:pt>
                <c:pt idx="41">
                  <c:v>3235.030029</c:v>
                </c:pt>
                <c:pt idx="42">
                  <c:v>3361.1298830000001</c:v>
                </c:pt>
                <c:pt idx="43">
                  <c:v>3308.6201169999999</c:v>
                </c:pt>
                <c:pt idx="44">
                  <c:v>3277.75</c:v>
                </c:pt>
                <c:pt idx="45">
                  <c:v>3302.709961</c:v>
                </c:pt>
                <c:pt idx="46">
                  <c:v>3304</c:v>
                </c:pt>
                <c:pt idx="47">
                  <c:v>3297.8400879999999</c:v>
                </c:pt>
                <c:pt idx="48">
                  <c:v>3254</c:v>
                </c:pt>
                <c:pt idx="49">
                  <c:v>3248.0600589999999</c:v>
                </c:pt>
                <c:pt idx="50">
                  <c:v>3233.3100589999999</c:v>
                </c:pt>
                <c:pt idx="51">
                  <c:v>3253.5900879999999</c:v>
                </c:pt>
                <c:pt idx="52">
                  <c:v>3259.5</c:v>
                </c:pt>
                <c:pt idx="53">
                  <c:v>3273.9399410000001</c:v>
                </c:pt>
                <c:pt idx="54">
                  <c:v>3245.75</c:v>
                </c:pt>
                <c:pt idx="55">
                  <c:v>3172.26001</c:v>
                </c:pt>
                <c:pt idx="56">
                  <c:v>3093.6000979999999</c:v>
                </c:pt>
                <c:pt idx="57">
                  <c:v>3125.3798830000001</c:v>
                </c:pt>
                <c:pt idx="58">
                  <c:v>3047.76001</c:v>
                </c:pt>
                <c:pt idx="59">
                  <c:v>3036.6999510000001</c:v>
                </c:pt>
                <c:pt idx="60">
                  <c:v>3097.98999</c:v>
                </c:pt>
                <c:pt idx="61">
                  <c:v>3087.1201169999999</c:v>
                </c:pt>
                <c:pt idx="62">
                  <c:v>2995</c:v>
                </c:pt>
                <c:pt idx="63">
                  <c:v>2945.429932</c:v>
                </c:pt>
                <c:pt idx="64">
                  <c:v>2881</c:v>
                </c:pt>
                <c:pt idx="65">
                  <c:v>2951.3100589999999</c:v>
                </c:pt>
                <c:pt idx="66">
                  <c:v>3005.1499020000001</c:v>
                </c:pt>
                <c:pt idx="67">
                  <c:v>3030.0500489999999</c:v>
                </c:pt>
                <c:pt idx="68">
                  <c:v>3082.929932</c:v>
                </c:pt>
                <c:pt idx="69">
                  <c:v>3045.5</c:v>
                </c:pt>
                <c:pt idx="70">
                  <c:v>3032.0900879999999</c:v>
                </c:pt>
                <c:pt idx="71">
                  <c:v>3075.860107</c:v>
                </c:pt>
                <c:pt idx="72">
                  <c:v>3070.219971</c:v>
                </c:pt>
                <c:pt idx="73">
                  <c:v>3025</c:v>
                </c:pt>
                <c:pt idx="74">
                  <c:v>3016.6298830000001</c:v>
                </c:pt>
                <c:pt idx="75">
                  <c:v>3060.0500489999999</c:v>
                </c:pt>
                <c:pt idx="76">
                  <c:v>3120.8500979999999</c:v>
                </c:pt>
                <c:pt idx="77">
                  <c:v>3085.1499020000001</c:v>
                </c:pt>
                <c:pt idx="78">
                  <c:v>3037.139893</c:v>
                </c:pt>
                <c:pt idx="79">
                  <c:v>2996</c:v>
                </c:pt>
                <c:pt idx="80">
                  <c:v>3028.4499510000001</c:v>
                </c:pt>
                <c:pt idx="81">
                  <c:v>3034</c:v>
                </c:pt>
                <c:pt idx="82">
                  <c:v>3062.5</c:v>
                </c:pt>
                <c:pt idx="83">
                  <c:v>3115.5500489999999</c:v>
                </c:pt>
                <c:pt idx="84">
                  <c:v>3161.23999</c:v>
                </c:pt>
                <c:pt idx="85">
                  <c:v>3217.040039</c:v>
                </c:pt>
                <c:pt idx="86">
                  <c:v>3223.6499020000001</c:v>
                </c:pt>
                <c:pt idx="87">
                  <c:v>3292</c:v>
                </c:pt>
                <c:pt idx="88">
                  <c:v>3288.8999020000001</c:v>
                </c:pt>
                <c:pt idx="89">
                  <c:v>3351.1499020000001</c:v>
                </c:pt>
                <c:pt idx="90">
                  <c:v>3395.6298830000001</c:v>
                </c:pt>
                <c:pt idx="91">
                  <c:v>3326</c:v>
                </c:pt>
                <c:pt idx="92">
                  <c:v>3352</c:v>
                </c:pt>
                <c:pt idx="93">
                  <c:v>3355.5900879999999</c:v>
                </c:pt>
                <c:pt idx="94">
                  <c:v>3360.1599120000001</c:v>
                </c:pt>
                <c:pt idx="95">
                  <c:v>3316</c:v>
                </c:pt>
                <c:pt idx="96">
                  <c:v>3303.8100589999999</c:v>
                </c:pt>
                <c:pt idx="97">
                  <c:v>3301.4499510000001</c:v>
                </c:pt>
                <c:pt idx="98">
                  <c:v>3308.5</c:v>
                </c:pt>
                <c:pt idx="99">
                  <c:v>3330.9399410000001</c:v>
                </c:pt>
                <c:pt idx="100">
                  <c:v>3398.01001</c:v>
                </c:pt>
                <c:pt idx="101">
                  <c:v>3425</c:v>
                </c:pt>
                <c:pt idx="102">
                  <c:v>3435</c:v>
                </c:pt>
                <c:pt idx="103">
                  <c:v>3462.5</c:v>
                </c:pt>
                <c:pt idx="104">
                  <c:v>3372.6999510000001</c:v>
                </c:pt>
                <c:pt idx="105">
                  <c:v>3272.1298830000001</c:v>
                </c:pt>
                <c:pt idx="106">
                  <c:v>3264.360107</c:v>
                </c:pt>
                <c:pt idx="107">
                  <c:v>3247.1999510000001</c:v>
                </c:pt>
                <c:pt idx="108">
                  <c:v>3289.070068</c:v>
                </c:pt>
                <c:pt idx="109">
                  <c:v>3190</c:v>
                </c:pt>
                <c:pt idx="110">
                  <c:v>3127.3701169999999</c:v>
                </c:pt>
                <c:pt idx="111">
                  <c:v>3133.1000979999999</c:v>
                </c:pt>
                <c:pt idx="112">
                  <c:v>3133</c:v>
                </c:pt>
                <c:pt idx="113">
                  <c:v>3183</c:v>
                </c:pt>
                <c:pt idx="114">
                  <c:v>3234.5900879999999</c:v>
                </c:pt>
                <c:pt idx="115">
                  <c:v>3230.3701169999999</c:v>
                </c:pt>
                <c:pt idx="116">
                  <c:v>3184</c:v>
                </c:pt>
                <c:pt idx="117">
                  <c:v>3236.179932</c:v>
                </c:pt>
                <c:pt idx="118">
                  <c:v>3197.01001</c:v>
                </c:pt>
                <c:pt idx="119">
                  <c:v>3210.5</c:v>
                </c:pt>
                <c:pt idx="120">
                  <c:v>3213.76001</c:v>
                </c:pt>
                <c:pt idx="121">
                  <c:v>3258.51001</c:v>
                </c:pt>
                <c:pt idx="122">
                  <c:v>3230.040039</c:v>
                </c:pt>
                <c:pt idx="123">
                  <c:v>3219.6999510000001</c:v>
                </c:pt>
                <c:pt idx="124">
                  <c:v>3209.0600589999999</c:v>
                </c:pt>
                <c:pt idx="125">
                  <c:v>3208</c:v>
                </c:pt>
                <c:pt idx="126">
                  <c:v>3184.030029</c:v>
                </c:pt>
                <c:pt idx="127">
                  <c:v>3198.8100589999999</c:v>
                </c:pt>
                <c:pt idx="128">
                  <c:v>3172.1999510000001</c:v>
                </c:pt>
                <c:pt idx="129">
                  <c:v>3218.01001</c:v>
                </c:pt>
                <c:pt idx="130">
                  <c:v>3270.6999510000001</c:v>
                </c:pt>
                <c:pt idx="131">
                  <c:v>3281.1499020000001</c:v>
                </c:pt>
                <c:pt idx="132">
                  <c:v>3333.4499510000001</c:v>
                </c:pt>
                <c:pt idx="133">
                  <c:v>3335.5</c:v>
                </c:pt>
                <c:pt idx="134">
                  <c:v>3363.110107</c:v>
                </c:pt>
                <c:pt idx="135">
                  <c:v>3360.530029</c:v>
                </c:pt>
                <c:pt idx="136">
                  <c:v>3401</c:v>
                </c:pt>
                <c:pt idx="137">
                  <c:v>3473.709961</c:v>
                </c:pt>
                <c:pt idx="138">
                  <c:v>3434</c:v>
                </c:pt>
                <c:pt idx="139">
                  <c:v>3456.0900879999999</c:v>
                </c:pt>
                <c:pt idx="140">
                  <c:v>3483.1999510000001</c:v>
                </c:pt>
                <c:pt idx="141">
                  <c:v>3430.8500979999999</c:v>
                </c:pt>
                <c:pt idx="142">
                  <c:v>3394.179932</c:v>
                </c:pt>
                <c:pt idx="143">
                  <c:v>3413.51001</c:v>
                </c:pt>
                <c:pt idx="144">
                  <c:v>3423.030029</c:v>
                </c:pt>
                <c:pt idx="145">
                  <c:v>3435</c:v>
                </c:pt>
                <c:pt idx="146">
                  <c:v>3409.419922</c:v>
                </c:pt>
                <c:pt idx="147">
                  <c:v>3436.919922</c:v>
                </c:pt>
                <c:pt idx="148">
                  <c:v>3529</c:v>
                </c:pt>
                <c:pt idx="149">
                  <c:v>3678.9099120000001</c:v>
                </c:pt>
                <c:pt idx="150">
                  <c:v>3621.1201169999999</c:v>
                </c:pt>
                <c:pt idx="151">
                  <c:v>3693.3999020000001</c:v>
                </c:pt>
                <c:pt idx="152">
                  <c:v>3696.790039</c:v>
                </c:pt>
                <c:pt idx="153">
                  <c:v>3671.320068</c:v>
                </c:pt>
                <c:pt idx="154">
                  <c:v>3660.830078</c:v>
                </c:pt>
                <c:pt idx="155">
                  <c:v>3620.919922</c:v>
                </c:pt>
                <c:pt idx="156">
                  <c:v>3570.459961</c:v>
                </c:pt>
                <c:pt idx="157">
                  <c:v>3499.1599120000001</c:v>
                </c:pt>
                <c:pt idx="158">
                  <c:v>3518</c:v>
                </c:pt>
                <c:pt idx="159">
                  <c:v>3543.639893</c:v>
                </c:pt>
                <c:pt idx="160">
                  <c:v>3582.2700199999999</c:v>
                </c:pt>
                <c:pt idx="161">
                  <c:v>3622.040039</c:v>
                </c:pt>
                <c:pt idx="162">
                  <c:v>3647.25</c:v>
                </c:pt>
                <c:pt idx="163">
                  <c:v>3586.1499020000001</c:v>
                </c:pt>
                <c:pt idx="164">
                  <c:v>3601</c:v>
                </c:pt>
                <c:pt idx="165">
                  <c:v>3580.01001</c:v>
                </c:pt>
                <c:pt idx="166">
                  <c:v>3306.9799800000001</c:v>
                </c:pt>
                <c:pt idx="167">
                  <c:v>3317</c:v>
                </c:pt>
                <c:pt idx="168">
                  <c:v>3299.7700199999999</c:v>
                </c:pt>
                <c:pt idx="169">
                  <c:v>3345.5600589999999</c:v>
                </c:pt>
                <c:pt idx="170">
                  <c:v>3340.919922</c:v>
                </c:pt>
                <c:pt idx="171">
                  <c:v>3329.040039</c:v>
                </c:pt>
                <c:pt idx="172">
                  <c:v>3328.5200199999999</c:v>
                </c:pt>
                <c:pt idx="173">
                  <c:v>3315</c:v>
                </c:pt>
                <c:pt idx="174">
                  <c:v>3277.790039</c:v>
                </c:pt>
                <c:pt idx="175">
                  <c:v>3269.669922</c:v>
                </c:pt>
                <c:pt idx="176">
                  <c:v>3283</c:v>
                </c:pt>
                <c:pt idx="177">
                  <c:v>3211.1298830000001</c:v>
                </c:pt>
                <c:pt idx="178">
                  <c:v>3225.679932</c:v>
                </c:pt>
                <c:pt idx="179">
                  <c:v>3200</c:v>
                </c:pt>
                <c:pt idx="180">
                  <c:v>3182.459961</c:v>
                </c:pt>
                <c:pt idx="181">
                  <c:v>3175.76001</c:v>
                </c:pt>
                <c:pt idx="182">
                  <c:v>3210.01001</c:v>
                </c:pt>
                <c:pt idx="183">
                  <c:v>3274.580078</c:v>
                </c:pt>
                <c:pt idx="184">
                  <c:v>3286.1499020000001</c:v>
                </c:pt>
                <c:pt idx="185">
                  <c:v>3296</c:v>
                </c:pt>
                <c:pt idx="186">
                  <c:v>3313.75</c:v>
                </c:pt>
                <c:pt idx="187">
                  <c:v>3355.219971</c:v>
                </c:pt>
                <c:pt idx="188">
                  <c:v>3395.5900879999999</c:v>
                </c:pt>
                <c:pt idx="189">
                  <c:v>3475.23999</c:v>
                </c:pt>
                <c:pt idx="190">
                  <c:v>3455</c:v>
                </c:pt>
                <c:pt idx="191">
                  <c:v>3436.4399410000001</c:v>
                </c:pt>
                <c:pt idx="192">
                  <c:v>3476.9399410000001</c:v>
                </c:pt>
                <c:pt idx="193">
                  <c:v>3495.669922</c:v>
                </c:pt>
                <c:pt idx="194">
                  <c:v>3480.3701169999999</c:v>
                </c:pt>
                <c:pt idx="195">
                  <c:v>3462.9099120000001</c:v>
                </c:pt>
                <c:pt idx="196">
                  <c:v>3438</c:v>
                </c:pt>
                <c:pt idx="197">
                  <c:v>3437.709961</c:v>
                </c:pt>
                <c:pt idx="198">
                  <c:v>3402.01001</c:v>
                </c:pt>
                <c:pt idx="199">
                  <c:v>3446.139893</c:v>
                </c:pt>
                <c:pt idx="200">
                  <c:v>3452.1298830000001</c:v>
                </c:pt>
                <c:pt idx="201">
                  <c:v>3305.01001</c:v>
                </c:pt>
                <c:pt idx="202">
                  <c:v>3332.389893</c:v>
                </c:pt>
                <c:pt idx="203">
                  <c:v>3341.0500489999999</c:v>
                </c:pt>
                <c:pt idx="204">
                  <c:v>3380.0500489999999</c:v>
                </c:pt>
                <c:pt idx="205">
                  <c:v>3393.3999020000001</c:v>
                </c:pt>
                <c:pt idx="206">
                  <c:v>3339.610107</c:v>
                </c:pt>
                <c:pt idx="207">
                  <c:v>3290.1000979999999</c:v>
                </c:pt>
                <c:pt idx="208">
                  <c:v>3297.8701169999999</c:v>
                </c:pt>
                <c:pt idx="209">
                  <c:v>3273.98999</c:v>
                </c:pt>
                <c:pt idx="210">
                  <c:v>3255.9399410000001</c:v>
                </c:pt>
                <c:pt idx="211">
                  <c:v>3176.25</c:v>
                </c:pt>
                <c:pt idx="212">
                  <c:v>3202.459961</c:v>
                </c:pt>
                <c:pt idx="213">
                  <c:v>3198.6201169999999</c:v>
                </c:pt>
                <c:pt idx="214">
                  <c:v>3283.0600589999999</c:v>
                </c:pt>
                <c:pt idx="215">
                  <c:v>3288.1999510000001</c:v>
                </c:pt>
                <c:pt idx="216">
                  <c:v>3238.1000979999999</c:v>
                </c:pt>
                <c:pt idx="217">
                  <c:v>3236.280029</c:v>
                </c:pt>
                <c:pt idx="218">
                  <c:v>3261.0900879999999</c:v>
                </c:pt>
                <c:pt idx="219">
                  <c:v>3290.780029</c:v>
                </c:pt>
                <c:pt idx="220">
                  <c:v>3304</c:v>
                </c:pt>
                <c:pt idx="221">
                  <c:v>3385.1000979999999</c:v>
                </c:pt>
                <c:pt idx="222">
                  <c:v>3422</c:v>
                </c:pt>
                <c:pt idx="223">
                  <c:v>3400.3701169999999</c:v>
                </c:pt>
                <c:pt idx="224">
                  <c:v>3403</c:v>
                </c:pt>
                <c:pt idx="225">
                  <c:v>3331.3000489999999</c:v>
                </c:pt>
                <c:pt idx="226">
                  <c:v>3297.6999510000001</c:v>
                </c:pt>
                <c:pt idx="227">
                  <c:v>3343.9799800000001</c:v>
                </c:pt>
                <c:pt idx="228">
                  <c:v>3371.4499510000001</c:v>
                </c:pt>
                <c:pt idx="229">
                  <c:v>3386</c:v>
                </c:pt>
                <c:pt idx="230">
                  <c:v>3273.320068</c:v>
                </c:pt>
                <c:pt idx="231">
                  <c:v>3292.0200199999999</c:v>
                </c:pt>
                <c:pt idx="232">
                  <c:v>3283.5500489999999</c:v>
                </c:pt>
                <c:pt idx="233">
                  <c:v>3297.5200199999999</c:v>
                </c:pt>
                <c:pt idx="234">
                  <c:v>3365</c:v>
                </c:pt>
                <c:pt idx="235">
                  <c:v>3476.9799800000001</c:v>
                </c:pt>
                <c:pt idx="236">
                  <c:v>3487.860107</c:v>
                </c:pt>
                <c:pt idx="237">
                  <c:v>3501.429932</c:v>
                </c:pt>
                <c:pt idx="238">
                  <c:v>3463.0900879999999</c:v>
                </c:pt>
                <c:pt idx="239">
                  <c:v>3467.469971</c:v>
                </c:pt>
                <c:pt idx="240">
                  <c:v>3447.0500489999999</c:v>
                </c:pt>
                <c:pt idx="241">
                  <c:v>3525.8100589999999</c:v>
                </c:pt>
                <c:pt idx="242">
                  <c:v>3525.1499020000001</c:v>
                </c:pt>
                <c:pt idx="243">
                  <c:v>3545.3500979999999</c:v>
                </c:pt>
                <c:pt idx="244">
                  <c:v>3561</c:v>
                </c:pt>
                <c:pt idx="245">
                  <c:v>3675.719971</c:v>
                </c:pt>
                <c:pt idx="246">
                  <c:v>3567.5</c:v>
                </c:pt>
                <c:pt idx="247">
                  <c:v>3527.709961</c:v>
                </c:pt>
                <c:pt idx="248">
                  <c:v>3536.8500979999999</c:v>
                </c:pt>
                <c:pt idx="249">
                  <c:v>3504.1499020000001</c:v>
                </c:pt>
                <c:pt idx="250">
                  <c:v>3531.5</c:v>
                </c:pt>
                <c:pt idx="251">
                  <c:v>3492.01001</c:v>
                </c:pt>
              </c:numCache>
            </c:numRef>
          </c:yVal>
          <c:smooth val="0"/>
          <c:extLst>
            <c:ext xmlns:c16="http://schemas.microsoft.com/office/drawing/2014/chart" uri="{C3380CC4-5D6E-409C-BE32-E72D297353CC}">
              <c16:uniqueId val="{00000001-92BF-CA4A-82F7-1D1AE9D0BB18}"/>
            </c:ext>
          </c:extLst>
        </c:ser>
        <c:dLbls>
          <c:showLegendKey val="0"/>
          <c:showVal val="0"/>
          <c:showCatName val="0"/>
          <c:showSerName val="0"/>
          <c:showPercent val="0"/>
          <c:showBubbleSize val="0"/>
        </c:dLbls>
        <c:axId val="255884607"/>
        <c:axId val="255876095"/>
      </c:scatterChart>
      <c:valAx>
        <c:axId val="255884607"/>
        <c:scaling>
          <c:orientation val="minMax"/>
          <c:min val="29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Low</a:t>
                </a:r>
                <a:r>
                  <a:rPr lang="en-US" baseline="0"/>
                  <a:t> Price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876095"/>
        <c:crosses val="autoZero"/>
        <c:crossBetween val="midCat"/>
      </c:valAx>
      <c:valAx>
        <c:axId val="255876095"/>
        <c:scaling>
          <c:orientation val="minMax"/>
          <c:min val="2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High 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88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Intraday Trading Range vs. Daily Volume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Amazon_stock!$I$1</c:f>
              <c:strCache>
                <c:ptCount val="1"/>
                <c:pt idx="0">
                  <c:v>High - low</c:v>
                </c:pt>
              </c:strCache>
            </c:strRef>
          </c:tx>
          <c:spPr>
            <a:ln w="28575" cap="rnd">
              <a:solidFill>
                <a:schemeClr val="accent2"/>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Amazon_stock!$I$2:$I$253</c:f>
              <c:numCache>
                <c:formatCode>General</c:formatCode>
                <c:ptCount val="252"/>
                <c:pt idx="0">
                  <c:v>91.770019000000048</c:v>
                </c:pt>
                <c:pt idx="1">
                  <c:v>58.739990000000034</c:v>
                </c:pt>
                <c:pt idx="2">
                  <c:v>47.329834000000119</c:v>
                </c:pt>
                <c:pt idx="3">
                  <c:v>39.449951000000056</c:v>
                </c:pt>
                <c:pt idx="4">
                  <c:v>39.070068999999876</c:v>
                </c:pt>
                <c:pt idx="5">
                  <c:v>64.109863000000132</c:v>
                </c:pt>
                <c:pt idx="6">
                  <c:v>86.429932000000008</c:v>
                </c:pt>
                <c:pt idx="7">
                  <c:v>66.100097999999889</c:v>
                </c:pt>
                <c:pt idx="8">
                  <c:v>45.84985400000005</c:v>
                </c:pt>
                <c:pt idx="9">
                  <c:v>64.469970999999987</c:v>
                </c:pt>
                <c:pt idx="10">
                  <c:v>58.010009999999966</c:v>
                </c:pt>
                <c:pt idx="11">
                  <c:v>83.320067999999992</c:v>
                </c:pt>
                <c:pt idx="12">
                  <c:v>42.510009999999966</c:v>
                </c:pt>
                <c:pt idx="13">
                  <c:v>77.819824000000153</c:v>
                </c:pt>
                <c:pt idx="14">
                  <c:v>60.969970999999987</c:v>
                </c:pt>
                <c:pt idx="15">
                  <c:v>41.919922000000042</c:v>
                </c:pt>
                <c:pt idx="16">
                  <c:v>25.959961000000021</c:v>
                </c:pt>
                <c:pt idx="17">
                  <c:v>33</c:v>
                </c:pt>
                <c:pt idx="18">
                  <c:v>131.31005899999991</c:v>
                </c:pt>
                <c:pt idx="19">
                  <c:v>69.429931000000124</c:v>
                </c:pt>
                <c:pt idx="20">
                  <c:v>59.630126999999902</c:v>
                </c:pt>
                <c:pt idx="21">
                  <c:v>41.719970999999987</c:v>
                </c:pt>
                <c:pt idx="22">
                  <c:v>127.97998000000007</c:v>
                </c:pt>
                <c:pt idx="23">
                  <c:v>58.319824000000153</c:v>
                </c:pt>
                <c:pt idx="24">
                  <c:v>66.350097999999889</c:v>
                </c:pt>
                <c:pt idx="25">
                  <c:v>53.540038999999979</c:v>
                </c:pt>
                <c:pt idx="26">
                  <c:v>48.439941999999974</c:v>
                </c:pt>
                <c:pt idx="27">
                  <c:v>46.379883000000063</c:v>
                </c:pt>
                <c:pt idx="28">
                  <c:v>56.139893000000029</c:v>
                </c:pt>
                <c:pt idx="29">
                  <c:v>67.869873000000098</c:v>
                </c:pt>
                <c:pt idx="30">
                  <c:v>57.409912000000077</c:v>
                </c:pt>
                <c:pt idx="31">
                  <c:v>47.380126999999902</c:v>
                </c:pt>
                <c:pt idx="32">
                  <c:v>49</c:v>
                </c:pt>
                <c:pt idx="33">
                  <c:v>104.80004899999994</c:v>
                </c:pt>
                <c:pt idx="34">
                  <c:v>58.979980999999952</c:v>
                </c:pt>
                <c:pt idx="35">
                  <c:v>38.75</c:v>
                </c:pt>
                <c:pt idx="36">
                  <c:v>120.73999099999992</c:v>
                </c:pt>
                <c:pt idx="37">
                  <c:v>55.129883000000063</c:v>
                </c:pt>
                <c:pt idx="38">
                  <c:v>139.43994199999997</c:v>
                </c:pt>
                <c:pt idx="39">
                  <c:v>72.989990999999918</c:v>
                </c:pt>
                <c:pt idx="40">
                  <c:v>52.43994100000009</c:v>
                </c:pt>
                <c:pt idx="41">
                  <c:v>115.22998099999995</c:v>
                </c:pt>
                <c:pt idx="42">
                  <c:v>66.610106999999971</c:v>
                </c:pt>
                <c:pt idx="43">
                  <c:v>125.37988300000006</c:v>
                </c:pt>
                <c:pt idx="44">
                  <c:v>69.25</c:v>
                </c:pt>
                <c:pt idx="45">
                  <c:v>74.290038999999979</c:v>
                </c:pt>
                <c:pt idx="46">
                  <c:v>61</c:v>
                </c:pt>
                <c:pt idx="47">
                  <c:v>40.159912000000077</c:v>
                </c:pt>
                <c:pt idx="48">
                  <c:v>63.949951000000056</c:v>
                </c:pt>
                <c:pt idx="49">
                  <c:v>43.93994100000009</c:v>
                </c:pt>
                <c:pt idx="50">
                  <c:v>46.93994100000009</c:v>
                </c:pt>
                <c:pt idx="51">
                  <c:v>54.709961000000021</c:v>
                </c:pt>
                <c:pt idx="52">
                  <c:v>61.409912000000077</c:v>
                </c:pt>
                <c:pt idx="53">
                  <c:v>64.06005899999991</c:v>
                </c:pt>
                <c:pt idx="54">
                  <c:v>87.75</c:v>
                </c:pt>
                <c:pt idx="55">
                  <c:v>60.060058000000026</c:v>
                </c:pt>
                <c:pt idx="56">
                  <c:v>111.12988200000018</c:v>
                </c:pt>
                <c:pt idx="57">
                  <c:v>45.850097000000005</c:v>
                </c:pt>
                <c:pt idx="58">
                  <c:v>130.5</c:v>
                </c:pt>
                <c:pt idx="59">
                  <c:v>85.739990000000034</c:v>
                </c:pt>
                <c:pt idx="60">
                  <c:v>51.570068999999876</c:v>
                </c:pt>
                <c:pt idx="61">
                  <c:v>76.399902999999995</c:v>
                </c:pt>
                <c:pt idx="62">
                  <c:v>112.78002900000001</c:v>
                </c:pt>
                <c:pt idx="63">
                  <c:v>112.69995100000006</c:v>
                </c:pt>
                <c:pt idx="64">
                  <c:v>128</c:v>
                </c:pt>
                <c:pt idx="65">
                  <c:v>113.28002900000001</c:v>
                </c:pt>
                <c:pt idx="66">
                  <c:v>85.81005899999991</c:v>
                </c:pt>
                <c:pt idx="67">
                  <c:v>86.409912000000077</c:v>
                </c:pt>
                <c:pt idx="68">
                  <c:v>48.850097000000005</c:v>
                </c:pt>
                <c:pt idx="69">
                  <c:v>53.479980000000069</c:v>
                </c:pt>
                <c:pt idx="70">
                  <c:v>50.149902000000111</c:v>
                </c:pt>
                <c:pt idx="71">
                  <c:v>53.049805000000106</c:v>
                </c:pt>
                <c:pt idx="72">
                  <c:v>102.83007799999996</c:v>
                </c:pt>
                <c:pt idx="73">
                  <c:v>91.629883000000063</c:v>
                </c:pt>
                <c:pt idx="74">
                  <c:v>60.660155999999915</c:v>
                </c:pt>
                <c:pt idx="75">
                  <c:v>66.530029000000013</c:v>
                </c:pt>
                <c:pt idx="76">
                  <c:v>61.149902000000111</c:v>
                </c:pt>
                <c:pt idx="77">
                  <c:v>75.160156999999799</c:v>
                </c:pt>
                <c:pt idx="78">
                  <c:v>72.640135999999984</c:v>
                </c:pt>
                <c:pt idx="79">
                  <c:v>60.659912000000077</c:v>
                </c:pt>
                <c:pt idx="80">
                  <c:v>62.800048999999944</c:v>
                </c:pt>
                <c:pt idx="81">
                  <c:v>39</c:v>
                </c:pt>
                <c:pt idx="82">
                  <c:v>56.830077999999958</c:v>
                </c:pt>
                <c:pt idx="83">
                  <c:v>46.889892000000145</c:v>
                </c:pt>
                <c:pt idx="84">
                  <c:v>74.719970999999987</c:v>
                </c:pt>
                <c:pt idx="85">
                  <c:v>30.270019999999931</c:v>
                </c:pt>
                <c:pt idx="86">
                  <c:v>79.96020499999986</c:v>
                </c:pt>
                <c:pt idx="87">
                  <c:v>32.5</c:v>
                </c:pt>
                <c:pt idx="88">
                  <c:v>83.300048999999944</c:v>
                </c:pt>
                <c:pt idx="89">
                  <c:v>43.890136999999868</c:v>
                </c:pt>
                <c:pt idx="90">
                  <c:v>36.370116999999937</c:v>
                </c:pt>
                <c:pt idx="91">
                  <c:v>78.129883000000063</c:v>
                </c:pt>
                <c:pt idx="92">
                  <c:v>45</c:v>
                </c:pt>
                <c:pt idx="93">
                  <c:v>51.209961000000021</c:v>
                </c:pt>
                <c:pt idx="94">
                  <c:v>75.770019999999931</c:v>
                </c:pt>
                <c:pt idx="95">
                  <c:v>66.989990000000034</c:v>
                </c:pt>
                <c:pt idx="96">
                  <c:v>59.050048000000061</c:v>
                </c:pt>
                <c:pt idx="97">
                  <c:v>71.420165999999881</c:v>
                </c:pt>
                <c:pt idx="98">
                  <c:v>66.5</c:v>
                </c:pt>
                <c:pt idx="99">
                  <c:v>97.510009999999966</c:v>
                </c:pt>
                <c:pt idx="100">
                  <c:v>61.989990000000034</c:v>
                </c:pt>
                <c:pt idx="101">
                  <c:v>64.879883000000063</c:v>
                </c:pt>
                <c:pt idx="102">
                  <c:v>79.449951000000056</c:v>
                </c:pt>
                <c:pt idx="103">
                  <c:v>91.5</c:v>
                </c:pt>
                <c:pt idx="104">
                  <c:v>113.94995100000006</c:v>
                </c:pt>
                <c:pt idx="105">
                  <c:v>95.850097000000005</c:v>
                </c:pt>
                <c:pt idx="106">
                  <c:v>90.339844000000085</c:v>
                </c:pt>
                <c:pt idx="107">
                  <c:v>67.199951000000056</c:v>
                </c:pt>
                <c:pt idx="108">
                  <c:v>41.819825000000037</c:v>
                </c:pt>
                <c:pt idx="109">
                  <c:v>93</c:v>
                </c:pt>
                <c:pt idx="110">
                  <c:v>110.62988300000006</c:v>
                </c:pt>
                <c:pt idx="111">
                  <c:v>74.839843000000201</c:v>
                </c:pt>
                <c:pt idx="112">
                  <c:v>70.840087999999923</c:v>
                </c:pt>
                <c:pt idx="113">
                  <c:v>45.860106999999971</c:v>
                </c:pt>
                <c:pt idx="114">
                  <c:v>58.159912000000077</c:v>
                </c:pt>
                <c:pt idx="115">
                  <c:v>81.629883000000063</c:v>
                </c:pt>
                <c:pt idx="116">
                  <c:v>50.75</c:v>
                </c:pt>
                <c:pt idx="117">
                  <c:v>23.5</c:v>
                </c:pt>
                <c:pt idx="118">
                  <c:v>59.679931000000124</c:v>
                </c:pt>
                <c:pt idx="119">
                  <c:v>47.449951000000056</c:v>
                </c:pt>
                <c:pt idx="120">
                  <c:v>66.060058000000026</c:v>
                </c:pt>
                <c:pt idx="121">
                  <c:v>37.219970000000103</c:v>
                </c:pt>
                <c:pt idx="122">
                  <c:v>30.320067999999992</c:v>
                </c:pt>
                <c:pt idx="123">
                  <c:v>28.290038999999979</c:v>
                </c:pt>
                <c:pt idx="124">
                  <c:v>41.919921000000159</c:v>
                </c:pt>
                <c:pt idx="125">
                  <c:v>27</c:v>
                </c:pt>
                <c:pt idx="126">
                  <c:v>30.409912000000077</c:v>
                </c:pt>
                <c:pt idx="127">
                  <c:v>22.18994100000009</c:v>
                </c:pt>
                <c:pt idx="128">
                  <c:v>35.800048999999944</c:v>
                </c:pt>
                <c:pt idx="129">
                  <c:v>61.520019000000048</c:v>
                </c:pt>
                <c:pt idx="130">
                  <c:v>26.880126999999902</c:v>
                </c:pt>
                <c:pt idx="131">
                  <c:v>69.850097999999889</c:v>
                </c:pt>
                <c:pt idx="132">
                  <c:v>33.130126999999902</c:v>
                </c:pt>
                <c:pt idx="133">
                  <c:v>49.5</c:v>
                </c:pt>
                <c:pt idx="134">
                  <c:v>33.879883000000063</c:v>
                </c:pt>
                <c:pt idx="135">
                  <c:v>65.820068999999876</c:v>
                </c:pt>
                <c:pt idx="136">
                  <c:v>96.199951000000056</c:v>
                </c:pt>
                <c:pt idx="137">
                  <c:v>33.290038999999979</c:v>
                </c:pt>
                <c:pt idx="138">
                  <c:v>48</c:v>
                </c:pt>
                <c:pt idx="139">
                  <c:v>67.68994100000009</c:v>
                </c:pt>
                <c:pt idx="140">
                  <c:v>37.800048999999944</c:v>
                </c:pt>
                <c:pt idx="141">
                  <c:v>94.010009000000082</c:v>
                </c:pt>
                <c:pt idx="142">
                  <c:v>70.640135999999984</c:v>
                </c:pt>
                <c:pt idx="143">
                  <c:v>34.489990000000034</c:v>
                </c:pt>
                <c:pt idx="144">
                  <c:v>33</c:v>
                </c:pt>
                <c:pt idx="145">
                  <c:v>36.600097999999889</c:v>
                </c:pt>
                <c:pt idx="146">
                  <c:v>47.580077999999958</c:v>
                </c:pt>
                <c:pt idx="147">
                  <c:v>74.800048999999944</c:v>
                </c:pt>
                <c:pt idx="148">
                  <c:v>156.47998000000007</c:v>
                </c:pt>
                <c:pt idx="149">
                  <c:v>55.290038999999979</c:v>
                </c:pt>
                <c:pt idx="150">
                  <c:v>138.8698730000001</c:v>
                </c:pt>
                <c:pt idx="151">
                  <c:v>54.600097999999889</c:v>
                </c:pt>
                <c:pt idx="152">
                  <c:v>60.5</c:v>
                </c:pt>
                <c:pt idx="153">
                  <c:v>101.76000999999997</c:v>
                </c:pt>
                <c:pt idx="154">
                  <c:v>56.829834000000119</c:v>
                </c:pt>
                <c:pt idx="155">
                  <c:v>74.479980000000069</c:v>
                </c:pt>
                <c:pt idx="156">
                  <c:v>75.600097999999889</c:v>
                </c:pt>
                <c:pt idx="157">
                  <c:v>51.050048999999944</c:v>
                </c:pt>
                <c:pt idx="158">
                  <c:v>74</c:v>
                </c:pt>
                <c:pt idx="159">
                  <c:v>42.810058000000026</c:v>
                </c:pt>
                <c:pt idx="160">
                  <c:v>57.75</c:v>
                </c:pt>
                <c:pt idx="161">
                  <c:v>44.070067999999992</c:v>
                </c:pt>
                <c:pt idx="162">
                  <c:v>64.830077999999958</c:v>
                </c:pt>
                <c:pt idx="163">
                  <c:v>112.35009799999989</c:v>
                </c:pt>
                <c:pt idx="164">
                  <c:v>57.419922000000042</c:v>
                </c:pt>
                <c:pt idx="165">
                  <c:v>57.93994100000009</c:v>
                </c:pt>
                <c:pt idx="166">
                  <c:v>61.15991299999996</c:v>
                </c:pt>
                <c:pt idx="167">
                  <c:v>41.919922000000042</c:v>
                </c:pt>
                <c:pt idx="168">
                  <c:v>91.229980000000069</c:v>
                </c:pt>
                <c:pt idx="169">
                  <c:v>43.319824000000153</c:v>
                </c:pt>
                <c:pt idx="170">
                  <c:v>48.080077999999958</c:v>
                </c:pt>
                <c:pt idx="171">
                  <c:v>45.959961000000021</c:v>
                </c:pt>
                <c:pt idx="172">
                  <c:v>26.359863000000132</c:v>
                </c:pt>
                <c:pt idx="173">
                  <c:v>43</c:v>
                </c:pt>
                <c:pt idx="174">
                  <c:v>59.909912000000077</c:v>
                </c:pt>
                <c:pt idx="175">
                  <c:v>44.840087999999923</c:v>
                </c:pt>
                <c:pt idx="176">
                  <c:v>23.070067999999992</c:v>
                </c:pt>
                <c:pt idx="177">
                  <c:v>88.870116999999937</c:v>
                </c:pt>
                <c:pt idx="178">
                  <c:v>54.810058000000026</c:v>
                </c:pt>
                <c:pt idx="179">
                  <c:v>54.100097999999889</c:v>
                </c:pt>
                <c:pt idx="180">
                  <c:v>50.540038999999979</c:v>
                </c:pt>
                <c:pt idx="181">
                  <c:v>32.050048999999944</c:v>
                </c:pt>
                <c:pt idx="182">
                  <c:v>70.889892000000145</c:v>
                </c:pt>
                <c:pt idx="183">
                  <c:v>40.909912000000077</c:v>
                </c:pt>
                <c:pt idx="184">
                  <c:v>34.850097999999889</c:v>
                </c:pt>
                <c:pt idx="185">
                  <c:v>36</c:v>
                </c:pt>
                <c:pt idx="186">
                  <c:v>38.570067999999992</c:v>
                </c:pt>
                <c:pt idx="187">
                  <c:v>89.780029000000013</c:v>
                </c:pt>
                <c:pt idx="188">
                  <c:v>76.989990000000034</c:v>
                </c:pt>
                <c:pt idx="189">
                  <c:v>51.760009999999966</c:v>
                </c:pt>
                <c:pt idx="190">
                  <c:v>56.959961000000021</c:v>
                </c:pt>
                <c:pt idx="191">
                  <c:v>46.229980999999952</c:v>
                </c:pt>
                <c:pt idx="192">
                  <c:v>51.150146999999833</c:v>
                </c:pt>
                <c:pt idx="193">
                  <c:v>49.959961000000021</c:v>
                </c:pt>
                <c:pt idx="194">
                  <c:v>69.619873000000098</c:v>
                </c:pt>
                <c:pt idx="195">
                  <c:v>45.540038999999979</c:v>
                </c:pt>
                <c:pt idx="196">
                  <c:v>59.959961000000021</c:v>
                </c:pt>
                <c:pt idx="197">
                  <c:v>49.100097999999889</c:v>
                </c:pt>
                <c:pt idx="198">
                  <c:v>83.409912000000077</c:v>
                </c:pt>
                <c:pt idx="199">
                  <c:v>46.410155999999915</c:v>
                </c:pt>
                <c:pt idx="200">
                  <c:v>45.280029000000013</c:v>
                </c:pt>
                <c:pt idx="201">
                  <c:v>113.98999000000003</c:v>
                </c:pt>
                <c:pt idx="202">
                  <c:v>47.310058000000026</c:v>
                </c:pt>
                <c:pt idx="203">
                  <c:v>47.949951000000056</c:v>
                </c:pt>
                <c:pt idx="204">
                  <c:v>48.909912000000077</c:v>
                </c:pt>
                <c:pt idx="205">
                  <c:v>35.860107999999855</c:v>
                </c:pt>
                <c:pt idx="206">
                  <c:v>75.959961000000021</c:v>
                </c:pt>
                <c:pt idx="207">
                  <c:v>79.089843000000201</c:v>
                </c:pt>
                <c:pt idx="208">
                  <c:v>53.429932000000008</c:v>
                </c:pt>
                <c:pt idx="209">
                  <c:v>53.860107999999855</c:v>
                </c:pt>
                <c:pt idx="210">
                  <c:v>53.229980999999952</c:v>
                </c:pt>
                <c:pt idx="211">
                  <c:v>103.73999000000003</c:v>
                </c:pt>
                <c:pt idx="212">
                  <c:v>58.270019000000048</c:v>
                </c:pt>
                <c:pt idx="213">
                  <c:v>65.719970999999987</c:v>
                </c:pt>
                <c:pt idx="214">
                  <c:v>42.68994100000009</c:v>
                </c:pt>
                <c:pt idx="215">
                  <c:v>33.229980999999952</c:v>
                </c:pt>
                <c:pt idx="216">
                  <c:v>54.489990000000034</c:v>
                </c:pt>
                <c:pt idx="217">
                  <c:v>31.25</c:v>
                </c:pt>
                <c:pt idx="218">
                  <c:v>27.28979500000014</c:v>
                </c:pt>
                <c:pt idx="219">
                  <c:v>21.820068999999876</c:v>
                </c:pt>
                <c:pt idx="220">
                  <c:v>106.41992200000004</c:v>
                </c:pt>
                <c:pt idx="221">
                  <c:v>64.069824000000153</c:v>
                </c:pt>
                <c:pt idx="222">
                  <c:v>32.68994100000009</c:v>
                </c:pt>
                <c:pt idx="223">
                  <c:v>62.489990000000034</c:v>
                </c:pt>
                <c:pt idx="224">
                  <c:v>37.280029000000013</c:v>
                </c:pt>
                <c:pt idx="225">
                  <c:v>98.540038999999979</c:v>
                </c:pt>
                <c:pt idx="226">
                  <c:v>50.100097999999889</c:v>
                </c:pt>
                <c:pt idx="227">
                  <c:v>72.140136999999868</c:v>
                </c:pt>
                <c:pt idx="228">
                  <c:v>65.550048999999944</c:v>
                </c:pt>
                <c:pt idx="229">
                  <c:v>93</c:v>
                </c:pt>
                <c:pt idx="230">
                  <c:v>101.5</c:v>
                </c:pt>
                <c:pt idx="231">
                  <c:v>83.84008700000004</c:v>
                </c:pt>
                <c:pt idx="232">
                  <c:v>47.570067999999992</c:v>
                </c:pt>
                <c:pt idx="233">
                  <c:v>97.399902000000111</c:v>
                </c:pt>
                <c:pt idx="234">
                  <c:v>133.62988300000006</c:v>
                </c:pt>
                <c:pt idx="235">
                  <c:v>89.270019999999931</c:v>
                </c:pt>
                <c:pt idx="236">
                  <c:v>91.139893000000029</c:v>
                </c:pt>
                <c:pt idx="237">
                  <c:v>92.340087999999923</c:v>
                </c:pt>
                <c:pt idx="238">
                  <c:v>142.35986300000013</c:v>
                </c:pt>
                <c:pt idx="239">
                  <c:v>75.770019000000048</c:v>
                </c:pt>
                <c:pt idx="240">
                  <c:v>93.679931000000124</c:v>
                </c:pt>
                <c:pt idx="241">
                  <c:v>68.069824000000153</c:v>
                </c:pt>
                <c:pt idx="242">
                  <c:v>51.350097999999889</c:v>
                </c:pt>
                <c:pt idx="243">
                  <c:v>41.899902000000111</c:v>
                </c:pt>
                <c:pt idx="244">
                  <c:v>143.19995100000006</c:v>
                </c:pt>
                <c:pt idx="245">
                  <c:v>86.429931000000124</c:v>
                </c:pt>
                <c:pt idx="246">
                  <c:v>145.95996100000002</c:v>
                </c:pt>
                <c:pt idx="247">
                  <c:v>93.340087999999923</c:v>
                </c:pt>
                <c:pt idx="248">
                  <c:v>76.78979500000014</c:v>
                </c:pt>
                <c:pt idx="249">
                  <c:v>129.35009799999989</c:v>
                </c:pt>
                <c:pt idx="250">
                  <c:v>64.5</c:v>
                </c:pt>
                <c:pt idx="251">
                  <c:v>93.760009999999966</c:v>
                </c:pt>
              </c:numCache>
            </c:numRef>
          </c:val>
          <c:smooth val="1"/>
          <c:extLst>
            <c:ext xmlns:c16="http://schemas.microsoft.com/office/drawing/2014/chart" uri="{C3380CC4-5D6E-409C-BE32-E72D297353CC}">
              <c16:uniqueId val="{00000001-E5D0-4D45-80DE-2A23F96F2F2A}"/>
            </c:ext>
          </c:extLst>
        </c:ser>
        <c:dLbls>
          <c:showLegendKey val="0"/>
          <c:showVal val="0"/>
          <c:showCatName val="0"/>
          <c:showSerName val="0"/>
          <c:showPercent val="0"/>
          <c:showBubbleSize val="0"/>
        </c:dLbls>
        <c:marker val="1"/>
        <c:smooth val="0"/>
        <c:axId val="255365951"/>
        <c:axId val="255361919"/>
      </c:lineChart>
      <c:lineChart>
        <c:grouping val="standard"/>
        <c:varyColors val="0"/>
        <c:ser>
          <c:idx val="0"/>
          <c:order val="0"/>
          <c:tx>
            <c:strRef>
              <c:f>Amazon_stock!$H$1</c:f>
              <c:strCache>
                <c:ptCount val="1"/>
                <c:pt idx="0">
                  <c:v>Volume (millions)</c:v>
                </c:pt>
              </c:strCache>
            </c:strRef>
          </c:tx>
          <c:spPr>
            <a:ln w="28575" cap="rnd">
              <a:solidFill>
                <a:schemeClr val="accent1"/>
              </a:solidFill>
              <a:round/>
            </a:ln>
            <a:effectLst/>
          </c:spPr>
          <c:marker>
            <c:symbol val="none"/>
          </c:marker>
          <c:cat>
            <c:numRef>
              <c:f>Amazon_stock!$A$2:$A$253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Amazon_stock!$H$2:$H$253</c:f>
              <c:numCache>
                <c:formatCode>General</c:formatCode>
                <c:ptCount val="252"/>
                <c:pt idx="0">
                  <c:v>4.5369999999999999</c:v>
                </c:pt>
                <c:pt idx="1">
                  <c:v>3.1293000000000002</c:v>
                </c:pt>
                <c:pt idx="2">
                  <c:v>2.8919999999999999</c:v>
                </c:pt>
                <c:pt idx="3">
                  <c:v>2.9136000000000002</c:v>
                </c:pt>
                <c:pt idx="4">
                  <c:v>2.7513000000000001</c:v>
                </c:pt>
                <c:pt idx="5">
                  <c:v>3.2863000000000002</c:v>
                </c:pt>
                <c:pt idx="6">
                  <c:v>4.1007999999999996</c:v>
                </c:pt>
                <c:pt idx="7">
                  <c:v>3.0301999999999998</c:v>
                </c:pt>
                <c:pt idx="8">
                  <c:v>3.0647000000000002</c:v>
                </c:pt>
                <c:pt idx="9">
                  <c:v>4.1558000000000002</c:v>
                </c:pt>
                <c:pt idx="10">
                  <c:v>3.3195000000000001</c:v>
                </c:pt>
                <c:pt idx="11">
                  <c:v>4.4276</c:v>
                </c:pt>
                <c:pt idx="12">
                  <c:v>3.4742999999999999</c:v>
                </c:pt>
                <c:pt idx="13">
                  <c:v>5.9957000000000003</c:v>
                </c:pt>
                <c:pt idx="14">
                  <c:v>3.8368000000000002</c:v>
                </c:pt>
                <c:pt idx="15">
                  <c:v>2.3694000000000002</c:v>
                </c:pt>
                <c:pt idx="16">
                  <c:v>2.0937999999999999</c:v>
                </c:pt>
                <c:pt idx="17">
                  <c:v>1.4519</c:v>
                </c:pt>
                <c:pt idx="18">
                  <c:v>5.6867999999999999</c:v>
                </c:pt>
                <c:pt idx="19">
                  <c:v>4.8728999999999996</c:v>
                </c:pt>
                <c:pt idx="20">
                  <c:v>3.2092999999999998</c:v>
                </c:pt>
                <c:pt idx="21">
                  <c:v>2.9571999999999998</c:v>
                </c:pt>
                <c:pt idx="22">
                  <c:v>4.4114000000000004</c:v>
                </c:pt>
                <c:pt idx="23">
                  <c:v>2.6555</c:v>
                </c:pt>
                <c:pt idx="24">
                  <c:v>4.3948</c:v>
                </c:pt>
                <c:pt idx="25">
                  <c:v>3.5145</c:v>
                </c:pt>
                <c:pt idx="26">
                  <c:v>3.5377000000000001</c:v>
                </c:pt>
                <c:pt idx="27">
                  <c:v>3.6833999999999998</c:v>
                </c:pt>
                <c:pt idx="28">
                  <c:v>3.5146000000000002</c:v>
                </c:pt>
                <c:pt idx="29">
                  <c:v>3.3212000000000002</c:v>
                </c:pt>
                <c:pt idx="30">
                  <c:v>3.0709</c:v>
                </c:pt>
                <c:pt idx="31">
                  <c:v>4.2439999999999998</c:v>
                </c:pt>
                <c:pt idx="32">
                  <c:v>3.3050999999999999</c:v>
                </c:pt>
                <c:pt idx="33">
                  <c:v>5.3098000000000001</c:v>
                </c:pt>
                <c:pt idx="34">
                  <c:v>4.9360999999999997</c:v>
                </c:pt>
                <c:pt idx="35">
                  <c:v>2.8218999999999999</c:v>
                </c:pt>
                <c:pt idx="36">
                  <c:v>3.7498</c:v>
                </c:pt>
                <c:pt idx="37">
                  <c:v>2.9552</c:v>
                </c:pt>
                <c:pt idx="38">
                  <c:v>4.6601999999999997</c:v>
                </c:pt>
                <c:pt idx="39">
                  <c:v>3.1492</c:v>
                </c:pt>
                <c:pt idx="40">
                  <c:v>4.2935999999999996</c:v>
                </c:pt>
                <c:pt idx="41">
                  <c:v>4.1601999999999997</c:v>
                </c:pt>
                <c:pt idx="42">
                  <c:v>7.0986000000000002</c:v>
                </c:pt>
                <c:pt idx="43">
                  <c:v>7.0888</c:v>
                </c:pt>
                <c:pt idx="44">
                  <c:v>3.6707000000000001</c:v>
                </c:pt>
                <c:pt idx="45">
                  <c:v>3.6208</c:v>
                </c:pt>
                <c:pt idx="46">
                  <c:v>3.2574000000000001</c:v>
                </c:pt>
                <c:pt idx="47">
                  <c:v>2.2035</c:v>
                </c:pt>
                <c:pt idx="48">
                  <c:v>3.1516000000000002</c:v>
                </c:pt>
                <c:pt idx="49">
                  <c:v>2.3014000000000001</c:v>
                </c:pt>
                <c:pt idx="50">
                  <c:v>2.3353000000000002</c:v>
                </c:pt>
                <c:pt idx="51">
                  <c:v>2.5747</c:v>
                </c:pt>
                <c:pt idx="52">
                  <c:v>3.2974999999999999</c:v>
                </c:pt>
                <c:pt idx="53">
                  <c:v>3.0274000000000001</c:v>
                </c:pt>
                <c:pt idx="54">
                  <c:v>4.3052000000000001</c:v>
                </c:pt>
                <c:pt idx="55">
                  <c:v>3.5156999999999998</c:v>
                </c:pt>
                <c:pt idx="56">
                  <c:v>4.6772</c:v>
                </c:pt>
                <c:pt idx="57">
                  <c:v>3.0112999999999999</c:v>
                </c:pt>
                <c:pt idx="58">
                  <c:v>4.5338000000000003</c:v>
                </c:pt>
                <c:pt idx="59">
                  <c:v>4.2759</c:v>
                </c:pt>
                <c:pt idx="60">
                  <c:v>2.7290999999999999</c:v>
                </c:pt>
                <c:pt idx="61">
                  <c:v>2.5958000000000001</c:v>
                </c:pt>
                <c:pt idx="62">
                  <c:v>3.9887000000000001</c:v>
                </c:pt>
                <c:pt idx="63">
                  <c:v>5.4816000000000003</c:v>
                </c:pt>
                <c:pt idx="64">
                  <c:v>5.3886000000000003</c:v>
                </c:pt>
                <c:pt idx="65">
                  <c:v>4.1849999999999996</c:v>
                </c:pt>
                <c:pt idx="66">
                  <c:v>4.03</c:v>
                </c:pt>
                <c:pt idx="67">
                  <c:v>3.0125000000000002</c:v>
                </c:pt>
                <c:pt idx="68">
                  <c:v>2.7764000000000002</c:v>
                </c:pt>
                <c:pt idx="69">
                  <c:v>2.4218999999999999</c:v>
                </c:pt>
                <c:pt idx="70">
                  <c:v>2.9136000000000002</c:v>
                </c:pt>
                <c:pt idx="71">
                  <c:v>2.5388000000000002</c:v>
                </c:pt>
                <c:pt idx="72">
                  <c:v>3.1185999999999998</c:v>
                </c:pt>
                <c:pt idx="73">
                  <c:v>3.6496</c:v>
                </c:pt>
                <c:pt idx="74">
                  <c:v>4.6254</c:v>
                </c:pt>
                <c:pt idx="75">
                  <c:v>2.9022000000000001</c:v>
                </c:pt>
                <c:pt idx="76">
                  <c:v>3.8172999999999999</c:v>
                </c:pt>
                <c:pt idx="77">
                  <c:v>2.9590000000000001</c:v>
                </c:pt>
                <c:pt idx="78">
                  <c:v>3.5634999999999999</c:v>
                </c:pt>
                <c:pt idx="79">
                  <c:v>3.3129</c:v>
                </c:pt>
                <c:pt idx="80">
                  <c:v>2.746</c:v>
                </c:pt>
                <c:pt idx="81">
                  <c:v>2.3376000000000001</c:v>
                </c:pt>
                <c:pt idx="82">
                  <c:v>3.0939000000000001</c:v>
                </c:pt>
                <c:pt idx="83">
                  <c:v>2.9403000000000001</c:v>
                </c:pt>
                <c:pt idx="84">
                  <c:v>3.3349000000000002</c:v>
                </c:pt>
                <c:pt idx="85">
                  <c:v>2.5377999999999998</c:v>
                </c:pt>
                <c:pt idx="86">
                  <c:v>3.3462000000000001</c:v>
                </c:pt>
                <c:pt idx="87">
                  <c:v>2.8121</c:v>
                </c:pt>
                <c:pt idx="88">
                  <c:v>4.3414999999999999</c:v>
                </c:pt>
                <c:pt idx="89">
                  <c:v>3.2818000000000001</c:v>
                </c:pt>
                <c:pt idx="90">
                  <c:v>3.3157999999999999</c:v>
                </c:pt>
                <c:pt idx="91">
                  <c:v>3.1452</c:v>
                </c:pt>
                <c:pt idx="92">
                  <c:v>3.2336</c:v>
                </c:pt>
                <c:pt idx="93">
                  <c:v>3.1859999999999999</c:v>
                </c:pt>
                <c:pt idx="94">
                  <c:v>2.7254</c:v>
                </c:pt>
                <c:pt idx="95">
                  <c:v>2.6230000000000002</c:v>
                </c:pt>
                <c:pt idx="96">
                  <c:v>2.2111999999999998</c:v>
                </c:pt>
                <c:pt idx="97">
                  <c:v>2.5806</c:v>
                </c:pt>
                <c:pt idx="98">
                  <c:v>3.1928000000000001</c:v>
                </c:pt>
                <c:pt idx="99">
                  <c:v>4.8807</c:v>
                </c:pt>
                <c:pt idx="100">
                  <c:v>3.8271000000000002</c:v>
                </c:pt>
                <c:pt idx="101">
                  <c:v>4.6318999999999999</c:v>
                </c:pt>
                <c:pt idx="102">
                  <c:v>7.6824000000000003</c:v>
                </c:pt>
                <c:pt idx="103">
                  <c:v>7.0092999999999996</c:v>
                </c:pt>
                <c:pt idx="104">
                  <c:v>5.8754999999999997</c:v>
                </c:pt>
                <c:pt idx="105">
                  <c:v>5.4394</c:v>
                </c:pt>
                <c:pt idx="106">
                  <c:v>3.7113</c:v>
                </c:pt>
                <c:pt idx="107">
                  <c:v>4.4477000000000002</c:v>
                </c:pt>
                <c:pt idx="108">
                  <c:v>4.7103000000000002</c:v>
                </c:pt>
                <c:pt idx="109">
                  <c:v>5.8385999999999996</c:v>
                </c:pt>
                <c:pt idx="110">
                  <c:v>4.6197999999999997</c:v>
                </c:pt>
                <c:pt idx="111">
                  <c:v>4.9363999999999999</c:v>
                </c:pt>
                <c:pt idx="112">
                  <c:v>3.3509000000000002</c:v>
                </c:pt>
                <c:pt idx="113">
                  <c:v>3.3250000000000002</c:v>
                </c:pt>
                <c:pt idx="114">
                  <c:v>3.7239</c:v>
                </c:pt>
                <c:pt idx="115">
                  <c:v>2.8283999999999998</c:v>
                </c:pt>
                <c:pt idx="116">
                  <c:v>2.6797</c:v>
                </c:pt>
                <c:pt idx="117">
                  <c:v>2.6332</c:v>
                </c:pt>
                <c:pt idx="118">
                  <c:v>4.1048999999999998</c:v>
                </c:pt>
                <c:pt idx="119">
                  <c:v>2.4228000000000001</c:v>
                </c:pt>
                <c:pt idx="120">
                  <c:v>3.2610999999999999</c:v>
                </c:pt>
                <c:pt idx="121">
                  <c:v>2.3839999999999999</c:v>
                </c:pt>
                <c:pt idx="122">
                  <c:v>2.5611999999999999</c:v>
                </c:pt>
                <c:pt idx="123">
                  <c:v>2.3298000000000001</c:v>
                </c:pt>
                <c:pt idx="124">
                  <c:v>2.4300000000000002</c:v>
                </c:pt>
                <c:pt idx="125">
                  <c:v>2.0145</c:v>
                </c:pt>
                <c:pt idx="126">
                  <c:v>2.3982999999999999</c:v>
                </c:pt>
                <c:pt idx="127">
                  <c:v>2.2496999999999998</c:v>
                </c:pt>
                <c:pt idx="128">
                  <c:v>2.2158000000000002</c:v>
                </c:pt>
                <c:pt idx="129">
                  <c:v>3.4167000000000001</c:v>
                </c:pt>
                <c:pt idx="130">
                  <c:v>2.4554999999999998</c:v>
                </c:pt>
                <c:pt idx="131">
                  <c:v>3.4765000000000001</c:v>
                </c:pt>
                <c:pt idx="132">
                  <c:v>2.8174000000000001</c:v>
                </c:pt>
                <c:pt idx="133">
                  <c:v>2.5697000000000001</c:v>
                </c:pt>
                <c:pt idx="134">
                  <c:v>2.4262000000000001</c:v>
                </c:pt>
                <c:pt idx="135">
                  <c:v>4.2027999999999999</c:v>
                </c:pt>
                <c:pt idx="136">
                  <c:v>5.1364999999999998</c:v>
                </c:pt>
                <c:pt idx="137">
                  <c:v>5.2477</c:v>
                </c:pt>
                <c:pt idx="138">
                  <c:v>3.2770999999999999</c:v>
                </c:pt>
                <c:pt idx="139">
                  <c:v>3.3451</c:v>
                </c:pt>
                <c:pt idx="140">
                  <c:v>2.8132999999999999</c:v>
                </c:pt>
                <c:pt idx="141">
                  <c:v>3.8319999999999999</c:v>
                </c:pt>
                <c:pt idx="142">
                  <c:v>3.9409999999999998</c:v>
                </c:pt>
                <c:pt idx="143">
                  <c:v>2.2427999999999999</c:v>
                </c:pt>
                <c:pt idx="144">
                  <c:v>2.0983999999999998</c:v>
                </c:pt>
                <c:pt idx="145">
                  <c:v>2.4039999999999999</c:v>
                </c:pt>
                <c:pt idx="146">
                  <c:v>2.0371000000000001</c:v>
                </c:pt>
                <c:pt idx="147">
                  <c:v>3.1694</c:v>
                </c:pt>
                <c:pt idx="148">
                  <c:v>6.7447999999999997</c:v>
                </c:pt>
                <c:pt idx="149">
                  <c:v>5.3281000000000001</c:v>
                </c:pt>
                <c:pt idx="150">
                  <c:v>5.1806000000000001</c:v>
                </c:pt>
                <c:pt idx="151">
                  <c:v>3.7482000000000002</c:v>
                </c:pt>
                <c:pt idx="152">
                  <c:v>2.5716000000000001</c:v>
                </c:pt>
                <c:pt idx="153">
                  <c:v>3.8458999999999999</c:v>
                </c:pt>
                <c:pt idx="154">
                  <c:v>3.2966000000000002</c:v>
                </c:pt>
                <c:pt idx="155">
                  <c:v>3.1852999999999998</c:v>
                </c:pt>
                <c:pt idx="156">
                  <c:v>4.0437000000000003</c:v>
                </c:pt>
                <c:pt idx="157">
                  <c:v>3.7846000000000002</c:v>
                </c:pt>
                <c:pt idx="158">
                  <c:v>3.2557</c:v>
                </c:pt>
                <c:pt idx="159">
                  <c:v>2.319</c:v>
                </c:pt>
                <c:pt idx="160">
                  <c:v>3.2654000000000001</c:v>
                </c:pt>
                <c:pt idx="161">
                  <c:v>2.4363000000000001</c:v>
                </c:pt>
                <c:pt idx="162">
                  <c:v>2.9001000000000001</c:v>
                </c:pt>
                <c:pt idx="163">
                  <c:v>4.1318999999999999</c:v>
                </c:pt>
                <c:pt idx="164">
                  <c:v>2.9994000000000001</c:v>
                </c:pt>
                <c:pt idx="165">
                  <c:v>5.52</c:v>
                </c:pt>
                <c:pt idx="166">
                  <c:v>9.9571000000000005</c:v>
                </c:pt>
                <c:pt idx="167">
                  <c:v>3.3538999999999999</c:v>
                </c:pt>
                <c:pt idx="168">
                  <c:v>4.1573000000000002</c:v>
                </c:pt>
                <c:pt idx="169">
                  <c:v>2.1839</c:v>
                </c:pt>
                <c:pt idx="170">
                  <c:v>2.4335</c:v>
                </c:pt>
                <c:pt idx="171">
                  <c:v>2.6353</c:v>
                </c:pt>
                <c:pt idx="172">
                  <c:v>2.1482000000000001</c:v>
                </c:pt>
                <c:pt idx="173">
                  <c:v>2.4125999999999999</c:v>
                </c:pt>
                <c:pt idx="174">
                  <c:v>2.9472</c:v>
                </c:pt>
                <c:pt idx="175">
                  <c:v>2.3140999999999998</c:v>
                </c:pt>
                <c:pt idx="176">
                  <c:v>2.0528</c:v>
                </c:pt>
                <c:pt idx="177">
                  <c:v>3.3197000000000001</c:v>
                </c:pt>
                <c:pt idx="178">
                  <c:v>3.3879000000000001</c:v>
                </c:pt>
                <c:pt idx="179">
                  <c:v>2.8043</c:v>
                </c:pt>
                <c:pt idx="180">
                  <c:v>3.7829000000000002</c:v>
                </c:pt>
                <c:pt idx="181">
                  <c:v>3.3412000000000002</c:v>
                </c:pt>
                <c:pt idx="182">
                  <c:v>3.2681</c:v>
                </c:pt>
                <c:pt idx="183">
                  <c:v>2.5518000000000001</c:v>
                </c:pt>
                <c:pt idx="184">
                  <c:v>1.6802999999999999</c:v>
                </c:pt>
                <c:pt idx="185">
                  <c:v>2.0988000000000002</c:v>
                </c:pt>
                <c:pt idx="186">
                  <c:v>2.3913000000000002</c:v>
                </c:pt>
                <c:pt idx="187">
                  <c:v>3.1922000000000001</c:v>
                </c:pt>
                <c:pt idx="188">
                  <c:v>4.3563999999999998</c:v>
                </c:pt>
                <c:pt idx="189">
                  <c:v>3.6299000000000001</c:v>
                </c:pt>
                <c:pt idx="190">
                  <c:v>2.9237000000000002</c:v>
                </c:pt>
                <c:pt idx="191">
                  <c:v>2.5756999999999999</c:v>
                </c:pt>
                <c:pt idx="192">
                  <c:v>2.7378999999999998</c:v>
                </c:pt>
                <c:pt idx="193">
                  <c:v>3.0533999999999999</c:v>
                </c:pt>
                <c:pt idx="194">
                  <c:v>2.7191999999999998</c:v>
                </c:pt>
                <c:pt idx="195">
                  <c:v>2.3933</c:v>
                </c:pt>
                <c:pt idx="196">
                  <c:v>2.569</c:v>
                </c:pt>
                <c:pt idx="197">
                  <c:v>1.9369000000000001</c:v>
                </c:pt>
                <c:pt idx="198">
                  <c:v>2.9575</c:v>
                </c:pt>
                <c:pt idx="199">
                  <c:v>2.5836000000000001</c:v>
                </c:pt>
                <c:pt idx="200">
                  <c:v>4.6166</c:v>
                </c:pt>
                <c:pt idx="201">
                  <c:v>4.6691000000000003</c:v>
                </c:pt>
                <c:pt idx="202">
                  <c:v>2.7808999999999999</c:v>
                </c:pt>
                <c:pt idx="203">
                  <c:v>2.4114</c:v>
                </c:pt>
                <c:pt idx="204">
                  <c:v>2.3794</c:v>
                </c:pt>
                <c:pt idx="205">
                  <c:v>2.1162000000000001</c:v>
                </c:pt>
                <c:pt idx="206">
                  <c:v>3.6345000000000001</c:v>
                </c:pt>
                <c:pt idx="207">
                  <c:v>4.4307999999999996</c:v>
                </c:pt>
                <c:pt idx="208">
                  <c:v>2.5623</c:v>
                </c:pt>
                <c:pt idx="209">
                  <c:v>2.8424</c:v>
                </c:pt>
                <c:pt idx="210">
                  <c:v>2.8355999999999999</c:v>
                </c:pt>
                <c:pt idx="211">
                  <c:v>4.5231000000000003</c:v>
                </c:pt>
                <c:pt idx="212">
                  <c:v>3.2692000000000001</c:v>
                </c:pt>
                <c:pt idx="213">
                  <c:v>2.5329999999999999</c:v>
                </c:pt>
                <c:pt idx="214">
                  <c:v>2.4091</c:v>
                </c:pt>
                <c:pt idx="215">
                  <c:v>1.9955000000000001</c:v>
                </c:pt>
                <c:pt idx="216">
                  <c:v>2.0341999999999998</c:v>
                </c:pt>
                <c:pt idx="217">
                  <c:v>1.8196000000000001</c:v>
                </c:pt>
                <c:pt idx="218">
                  <c:v>2.4201000000000001</c:v>
                </c:pt>
                <c:pt idx="219">
                  <c:v>2.1095000000000002</c:v>
                </c:pt>
                <c:pt idx="220">
                  <c:v>5.1750999999999996</c:v>
                </c:pt>
                <c:pt idx="221">
                  <c:v>3.1741000000000001</c:v>
                </c:pt>
                <c:pt idx="222">
                  <c:v>2.3860999999999999</c:v>
                </c:pt>
                <c:pt idx="223">
                  <c:v>2.1398000000000001</c:v>
                </c:pt>
                <c:pt idx="224">
                  <c:v>1.8814</c:v>
                </c:pt>
                <c:pt idx="225">
                  <c:v>3.1391</c:v>
                </c:pt>
                <c:pt idx="226">
                  <c:v>2.226</c:v>
                </c:pt>
                <c:pt idx="227">
                  <c:v>2.6983000000000001</c:v>
                </c:pt>
                <c:pt idx="228">
                  <c:v>2.7021999999999999</c:v>
                </c:pt>
                <c:pt idx="229">
                  <c:v>5.7087000000000003</c:v>
                </c:pt>
                <c:pt idx="230">
                  <c:v>6.4695</c:v>
                </c:pt>
                <c:pt idx="231">
                  <c:v>3.6089000000000002</c:v>
                </c:pt>
                <c:pt idx="232">
                  <c:v>2.6276000000000002</c:v>
                </c:pt>
                <c:pt idx="233">
                  <c:v>3.3972000000000002</c:v>
                </c:pt>
                <c:pt idx="234">
                  <c:v>5.3529999999999998</c:v>
                </c:pt>
                <c:pt idx="235">
                  <c:v>4.9935</c:v>
                </c:pt>
                <c:pt idx="236">
                  <c:v>3.0739999999999998</c:v>
                </c:pt>
                <c:pt idx="237">
                  <c:v>4.2949000000000002</c:v>
                </c:pt>
                <c:pt idx="238">
                  <c:v>4.0274000000000001</c:v>
                </c:pt>
                <c:pt idx="239">
                  <c:v>2.2644000000000002</c:v>
                </c:pt>
                <c:pt idx="240">
                  <c:v>2.6884999999999999</c:v>
                </c:pt>
                <c:pt idx="241">
                  <c:v>2.9297</c:v>
                </c:pt>
                <c:pt idx="242">
                  <c:v>2.2170999999999998</c:v>
                </c:pt>
                <c:pt idx="243">
                  <c:v>2.5602999999999998</c:v>
                </c:pt>
                <c:pt idx="244">
                  <c:v>5.7035</c:v>
                </c:pt>
                <c:pt idx="245">
                  <c:v>4.9367000000000001</c:v>
                </c:pt>
                <c:pt idx="246">
                  <c:v>4.8422000000000001</c:v>
                </c:pt>
                <c:pt idx="247">
                  <c:v>3.6901999999999999</c:v>
                </c:pt>
                <c:pt idx="248">
                  <c:v>2.3279999999999998</c:v>
                </c:pt>
                <c:pt idx="249">
                  <c:v>2.9912999999999998</c:v>
                </c:pt>
                <c:pt idx="250">
                  <c:v>3.2656000000000001</c:v>
                </c:pt>
                <c:pt idx="251">
                  <c:v>4.0011000000000001</c:v>
                </c:pt>
              </c:numCache>
            </c:numRef>
          </c:val>
          <c:smooth val="1"/>
          <c:extLst>
            <c:ext xmlns:c16="http://schemas.microsoft.com/office/drawing/2014/chart" uri="{C3380CC4-5D6E-409C-BE32-E72D297353CC}">
              <c16:uniqueId val="{00000000-E5D0-4D45-80DE-2A23F96F2F2A}"/>
            </c:ext>
          </c:extLst>
        </c:ser>
        <c:dLbls>
          <c:showLegendKey val="0"/>
          <c:showVal val="0"/>
          <c:showCatName val="0"/>
          <c:showSerName val="0"/>
          <c:showPercent val="0"/>
          <c:showBubbleSize val="0"/>
        </c:dLbls>
        <c:marker val="1"/>
        <c:smooth val="0"/>
        <c:axId val="267622079"/>
        <c:axId val="267436479"/>
      </c:lineChart>
      <c:dateAx>
        <c:axId val="255365951"/>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361919"/>
        <c:crosses val="autoZero"/>
        <c:auto val="1"/>
        <c:lblOffset val="100"/>
        <c:baseTimeUnit val="days"/>
        <c:majorUnit val="2"/>
        <c:majorTimeUnit val="months"/>
        <c:minorUnit val="2"/>
        <c:minorTimeUnit val="months"/>
      </c:dateAx>
      <c:valAx>
        <c:axId val="255361919"/>
        <c:scaling>
          <c:orientation val="minMax"/>
          <c:max val="165"/>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Price Spread (High - Low)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55365951"/>
        <c:crosses val="autoZero"/>
        <c:crossBetween val="between"/>
      </c:valAx>
      <c:valAx>
        <c:axId val="267436479"/>
        <c:scaling>
          <c:orientation val="minMax"/>
          <c:min val="1.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Traded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L"/>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crossAx val="267622079"/>
        <c:crosses val="max"/>
        <c:crossBetween val="between"/>
      </c:valAx>
      <c:dateAx>
        <c:axId val="267622079"/>
        <c:scaling>
          <c:orientation val="minMax"/>
        </c:scaling>
        <c:delete val="1"/>
        <c:axPos val="b"/>
        <c:numFmt formatCode="m/d/yy" sourceLinked="1"/>
        <c:majorTickMark val="out"/>
        <c:minorTickMark val="none"/>
        <c:tickLblPos val="nextTo"/>
        <c:crossAx val="267436479"/>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Trading Volume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Daily Trading Volume Distribution</a:t>
          </a:r>
        </a:p>
      </cx:txPr>
    </cx:title>
    <cx:plotArea>
      <cx:plotAreaRegion>
        <cx:series layoutId="clusteredColumn" uniqueId="{D6D8E2FC-CE38-A74F-8C11-0BCFEE907177}">
          <cx:spPr>
            <a:solidFill>
              <a:schemeClr val="accent5"/>
            </a:solidFill>
          </cx:spPr>
          <cx:dataLabels pos="outEnd">
            <cx:visibility seriesName="0" categoryName="0" value="1"/>
          </cx:dataLabels>
          <cx:dataId val="0"/>
          <cx:layoutPr>
            <cx:binning intervalClosed="r" overflow="auto">
              <cx:binSize val="0.5"/>
            </cx:binning>
          </cx:layoutPr>
        </cx:series>
      </cx:plotAreaRegion>
      <cx:axis id="0">
        <cx:catScaling gapWidth="0.5"/>
        <cx:title>
          <cx:tx>
            <cx:txData>
              <cx:v>Units Traded (millions)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Units Traded (millions)</a:t>
              </a:r>
            </a:p>
          </cx:txPr>
        </cx:title>
        <cx:tickLabels/>
        <cx:numFmt formatCode="0,0" sourceLinked="0"/>
      </cx:axis>
      <cx:axis id="1" hidden="1">
        <cx:valScaling/>
        <cx:title>
          <cx:tx>
            <cx:txData>
              <cx:v>Number of Days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Days</a:t>
              </a:r>
            </a:p>
          </cx:txPr>
        </cx:title>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Trading Volume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Daily Trading Volume Distribution</a:t>
          </a:r>
        </a:p>
      </cx:txPr>
    </cx:title>
    <cx:plotArea>
      <cx:plotAreaRegion>
        <cx:series layoutId="clusteredColumn" uniqueId="{D6D8E2FC-CE38-A74F-8C11-0BCFEE907177}">
          <cx:spPr>
            <a:solidFill>
              <a:schemeClr val="accent5"/>
            </a:solidFill>
          </cx:spPr>
          <cx:dataLabels pos="outEnd">
            <cx:visibility seriesName="0" categoryName="0" value="1"/>
          </cx:dataLabels>
          <cx:dataId val="0"/>
          <cx:layoutPr>
            <cx:binning intervalClosed="r" overflow="auto">
              <cx:binSize val="0.5"/>
            </cx:binning>
          </cx:layoutPr>
        </cx:series>
      </cx:plotAreaRegion>
      <cx:axis id="0">
        <cx:catScaling gapWidth="0.5"/>
        <cx:title>
          <cx:tx>
            <cx:txData>
              <cx:v>Units Traded (millions)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Units Traded (millions)</a:t>
              </a:r>
            </a:p>
          </cx:txPr>
        </cx:title>
        <cx:tickLabels/>
        <cx:numFmt formatCode="0,0" sourceLinked="0"/>
      </cx:axis>
      <cx:axis id="1" hidden="1">
        <cx:valScaling/>
        <cx:title>
          <cx:tx>
            <cx:txData>
              <cx:v>Number of Days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Days</a:t>
              </a:r>
            </a:p>
          </cx:txPr>
        </cx:title>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25400</xdr:colOff>
      <xdr:row>34</xdr:row>
      <xdr:rowOff>25400</xdr:rowOff>
    </xdr:from>
    <xdr:to>
      <xdr:col>8</xdr:col>
      <xdr:colOff>2019300</xdr:colOff>
      <xdr:row>48</xdr:row>
      <xdr:rowOff>38100</xdr:rowOff>
    </xdr:to>
    <xdr:graphicFrame macro="">
      <xdr:nvGraphicFramePr>
        <xdr:cNvPr id="2" name="Wykres 2">
          <a:extLst>
            <a:ext uri="{FF2B5EF4-FFF2-40B4-BE49-F238E27FC236}">
              <a16:creationId xmlns:a16="http://schemas.microsoft.com/office/drawing/2014/main" id="{79B7BD5F-C6D1-FE41-8105-0BB03D2C5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xdr:colOff>
      <xdr:row>49</xdr:row>
      <xdr:rowOff>25400</xdr:rowOff>
    </xdr:from>
    <xdr:to>
      <xdr:col>9</xdr:col>
      <xdr:colOff>25400</xdr:colOff>
      <xdr:row>67</xdr:row>
      <xdr:rowOff>63500</xdr:rowOff>
    </xdr:to>
    <xdr:graphicFrame macro="">
      <xdr:nvGraphicFramePr>
        <xdr:cNvPr id="3" name="Wykres 3">
          <a:extLst>
            <a:ext uri="{FF2B5EF4-FFF2-40B4-BE49-F238E27FC236}">
              <a16:creationId xmlns:a16="http://schemas.microsoft.com/office/drawing/2014/main" id="{9209DF6E-814B-5A49-B42B-127D7E52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820240</xdr:colOff>
      <xdr:row>67</xdr:row>
      <xdr:rowOff>204868</xdr:rowOff>
    </xdr:from>
    <xdr:to>
      <xdr:col>8</xdr:col>
      <xdr:colOff>2001212</xdr:colOff>
      <xdr:row>87</xdr:row>
      <xdr:rowOff>12828</xdr:rowOff>
    </xdr:to>
    <xdr:graphicFrame macro="">
      <xdr:nvGraphicFramePr>
        <xdr:cNvPr id="4" name="Chart 3">
          <a:extLst>
            <a:ext uri="{FF2B5EF4-FFF2-40B4-BE49-F238E27FC236}">
              <a16:creationId xmlns:a16="http://schemas.microsoft.com/office/drawing/2014/main" id="{786AA4AE-BA06-0F4B-B9D0-7A8D2336A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6671</xdr:colOff>
      <xdr:row>103</xdr:row>
      <xdr:rowOff>190758</xdr:rowOff>
    </xdr:from>
    <xdr:to>
      <xdr:col>9</xdr:col>
      <xdr:colOff>25658</xdr:colOff>
      <xdr:row>124</xdr:row>
      <xdr:rowOff>64142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217AF64-EE4E-E34B-8326-B477F82AC3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32171" y="26848058"/>
              <a:ext cx="7829487" cy="41405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5004</xdr:colOff>
      <xdr:row>126</xdr:row>
      <xdr:rowOff>64142</xdr:rowOff>
    </xdr:from>
    <xdr:to>
      <xdr:col>9</xdr:col>
      <xdr:colOff>0</xdr:colOff>
      <xdr:row>145</xdr:row>
      <xdr:rowOff>171771</xdr:rowOff>
    </xdr:to>
    <xdr:graphicFrame macro="">
      <xdr:nvGraphicFramePr>
        <xdr:cNvPr id="6" name="Chart 5">
          <a:extLst>
            <a:ext uri="{FF2B5EF4-FFF2-40B4-BE49-F238E27FC236}">
              <a16:creationId xmlns:a16="http://schemas.microsoft.com/office/drawing/2014/main" id="{DEA467F7-AEF4-4D46-9C8D-9D97EF367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17832</xdr:colOff>
      <xdr:row>163</xdr:row>
      <xdr:rowOff>12188</xdr:rowOff>
    </xdr:from>
    <xdr:to>
      <xdr:col>9</xdr:col>
      <xdr:colOff>0</xdr:colOff>
      <xdr:row>180</xdr:row>
      <xdr:rowOff>179597</xdr:rowOff>
    </xdr:to>
    <xdr:graphicFrame macro="">
      <xdr:nvGraphicFramePr>
        <xdr:cNvPr id="7" name="Chart 6">
          <a:extLst>
            <a:ext uri="{FF2B5EF4-FFF2-40B4-BE49-F238E27FC236}">
              <a16:creationId xmlns:a16="http://schemas.microsoft.com/office/drawing/2014/main" id="{F8207D4D-FE98-A64C-824E-EE2371CD0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25017</xdr:colOff>
      <xdr:row>198</xdr:row>
      <xdr:rowOff>25272</xdr:rowOff>
    </xdr:from>
    <xdr:to>
      <xdr:col>8</xdr:col>
      <xdr:colOff>2014040</xdr:colOff>
      <xdr:row>219</xdr:row>
      <xdr:rowOff>114173</xdr:rowOff>
    </xdr:to>
    <xdr:graphicFrame macro="">
      <xdr:nvGraphicFramePr>
        <xdr:cNvPr id="8" name="Chart 2">
          <a:extLst>
            <a:ext uri="{FF2B5EF4-FFF2-40B4-BE49-F238E27FC236}">
              <a16:creationId xmlns:a16="http://schemas.microsoft.com/office/drawing/2014/main" id="{2749DA93-50A2-6F4B-9D3F-AE57177F4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692150</xdr:colOff>
      <xdr:row>26</xdr:row>
      <xdr:rowOff>63500</xdr:rowOff>
    </xdr:from>
    <xdr:to>
      <xdr:col>15</xdr:col>
      <xdr:colOff>234950</xdr:colOff>
      <xdr:row>39</xdr:row>
      <xdr:rowOff>165100</xdr:rowOff>
    </xdr:to>
    <xdr:graphicFrame macro="">
      <xdr:nvGraphicFramePr>
        <xdr:cNvPr id="3" name="Wykres 2">
          <a:extLst>
            <a:ext uri="{FF2B5EF4-FFF2-40B4-BE49-F238E27FC236}">
              <a16:creationId xmlns:a16="http://schemas.microsoft.com/office/drawing/2014/main" id="{95C5957A-FB7F-2551-29AB-74781525E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209550</xdr:colOff>
      <xdr:row>40</xdr:row>
      <xdr:rowOff>177800</xdr:rowOff>
    </xdr:from>
    <xdr:to>
      <xdr:col>17</xdr:col>
      <xdr:colOff>215900</xdr:colOff>
      <xdr:row>59</xdr:row>
      <xdr:rowOff>63500</xdr:rowOff>
    </xdr:to>
    <xdr:graphicFrame macro="">
      <xdr:nvGraphicFramePr>
        <xdr:cNvPr id="4" name="Wykres 3">
          <a:extLst>
            <a:ext uri="{FF2B5EF4-FFF2-40B4-BE49-F238E27FC236}">
              <a16:creationId xmlns:a16="http://schemas.microsoft.com/office/drawing/2014/main" id="{FD7E1F8C-CC36-008D-A3F3-83D191B11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184150</xdr:colOff>
      <xdr:row>36</xdr:row>
      <xdr:rowOff>190500</xdr:rowOff>
    </xdr:from>
    <xdr:to>
      <xdr:col>8</xdr:col>
      <xdr:colOff>165100</xdr:colOff>
      <xdr:row>55</xdr:row>
      <xdr:rowOff>127000</xdr:rowOff>
    </xdr:to>
    <xdr:graphicFrame macro="">
      <xdr:nvGraphicFramePr>
        <xdr:cNvPr id="2" name="Chart 1">
          <a:extLst>
            <a:ext uri="{FF2B5EF4-FFF2-40B4-BE49-F238E27FC236}">
              <a16:creationId xmlns:a16="http://schemas.microsoft.com/office/drawing/2014/main" id="{8A6824EC-77E2-4C4F-AF64-C98801C3E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647700</xdr:colOff>
      <xdr:row>3</xdr:row>
      <xdr:rowOff>101600</xdr:rowOff>
    </xdr:from>
    <xdr:to>
      <xdr:col>9</xdr:col>
      <xdr:colOff>451556</xdr:colOff>
      <xdr:row>24</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FEB8BA-D51E-A7FB-1382-6E8FE633F1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7700" y="711200"/>
              <a:ext cx="7233356" cy="4279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126998</xdr:colOff>
      <xdr:row>8</xdr:row>
      <xdr:rowOff>11288</xdr:rowOff>
    </xdr:from>
    <xdr:to>
      <xdr:col>18</xdr:col>
      <xdr:colOff>197555</xdr:colOff>
      <xdr:row>28</xdr:row>
      <xdr:rowOff>28221</xdr:rowOff>
    </xdr:to>
    <xdr:graphicFrame macro="">
      <xdr:nvGraphicFramePr>
        <xdr:cNvPr id="3" name="Chart 2">
          <a:extLst>
            <a:ext uri="{FF2B5EF4-FFF2-40B4-BE49-F238E27FC236}">
              <a16:creationId xmlns:a16="http://schemas.microsoft.com/office/drawing/2014/main" id="{0D13EABB-BC3F-77B9-B649-C0441FC2D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673100</xdr:colOff>
      <xdr:row>2</xdr:row>
      <xdr:rowOff>127000</xdr:rowOff>
    </xdr:from>
    <xdr:to>
      <xdr:col>10</xdr:col>
      <xdr:colOff>174207</xdr:colOff>
      <xdr:row>20</xdr:row>
      <xdr:rowOff>126102</xdr:rowOff>
    </xdr:to>
    <xdr:graphicFrame macro="">
      <xdr:nvGraphicFramePr>
        <xdr:cNvPr id="3" name="Chart 2">
          <a:extLst>
            <a:ext uri="{FF2B5EF4-FFF2-40B4-BE49-F238E27FC236}">
              <a16:creationId xmlns:a16="http://schemas.microsoft.com/office/drawing/2014/main" id="{2D7DD7D3-4BF2-7543-9FAF-8ECCF2502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330200</xdr:colOff>
      <xdr:row>2</xdr:row>
      <xdr:rowOff>12700</xdr:rowOff>
    </xdr:from>
    <xdr:to>
      <xdr:col>7</xdr:col>
      <xdr:colOff>431800</xdr:colOff>
      <xdr:row>23</xdr:row>
      <xdr:rowOff>101600</xdr:rowOff>
    </xdr:to>
    <xdr:graphicFrame macro="">
      <xdr:nvGraphicFramePr>
        <xdr:cNvPr id="4" name="Chart 2">
          <a:extLst>
            <a:ext uri="{FF2B5EF4-FFF2-40B4-BE49-F238E27FC236}">
              <a16:creationId xmlns:a16="http://schemas.microsoft.com/office/drawing/2014/main" id="{DFEE8353-C042-2644-F6FA-6F1421F5C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Documents/Data%20Science/Excel%20Projects/Stock%20Market/Amazon_stock.xlsx" TargetMode="External"/><Relationship Id="rId1" Type="http://schemas.openxmlformats.org/officeDocument/2006/relationships/externalLinkPath" Target="/Users/s/Documents/Data%20Science/Excel%20Projects/Stock%20Market/Amazon_st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Amazon_stock"/>
      <sheetName val="Daily_change"/>
      <sheetName val="Volume_analysis"/>
      <sheetName val="High_vs_low"/>
      <sheetName val="Volume_vs_price"/>
    </sheetNames>
    <sheetDataSet>
      <sheetData sheetId="0" refreshError="1"/>
      <sheetData sheetId="1">
        <row r="2">
          <cell r="C2">
            <v>3248.9499510000001</v>
          </cell>
          <cell r="D2">
            <v>3157.179932</v>
          </cell>
        </row>
        <row r="3">
          <cell r="C3">
            <v>3232</v>
          </cell>
          <cell r="D3">
            <v>3173.26001</v>
          </cell>
        </row>
        <row r="4">
          <cell r="C4">
            <v>3228.639893</v>
          </cell>
          <cell r="D4">
            <v>3181.3100589999999</v>
          </cell>
        </row>
        <row r="5">
          <cell r="C5">
            <v>3198.209961</v>
          </cell>
          <cell r="D5">
            <v>3158.76001</v>
          </cell>
        </row>
        <row r="6">
          <cell r="C6">
            <v>3180.76001</v>
          </cell>
          <cell r="D6">
            <v>3141.6899410000001</v>
          </cell>
        </row>
        <row r="7">
          <cell r="C7">
            <v>3184.1298830000001</v>
          </cell>
          <cell r="D7">
            <v>3120.0200199999999</v>
          </cell>
        </row>
        <row r="8">
          <cell r="C8">
            <v>3174.429932</v>
          </cell>
          <cell r="D8">
            <v>3088</v>
          </cell>
        </row>
        <row r="9">
          <cell r="C9">
            <v>3142.1000979999999</v>
          </cell>
          <cell r="D9">
            <v>3076</v>
          </cell>
        </row>
        <row r="10">
          <cell r="C10">
            <v>3118.669922</v>
          </cell>
          <cell r="D10">
            <v>3072.820068</v>
          </cell>
        </row>
        <row r="11">
          <cell r="C11">
            <v>3190.469971</v>
          </cell>
          <cell r="D11">
            <v>3126</v>
          </cell>
        </row>
        <row r="12">
          <cell r="C12">
            <v>3188.5</v>
          </cell>
          <cell r="D12">
            <v>3130.48999</v>
          </cell>
        </row>
        <row r="13">
          <cell r="C13">
            <v>3247</v>
          </cell>
          <cell r="D13">
            <v>3163.679932</v>
          </cell>
        </row>
        <row r="14">
          <cell r="C14">
            <v>3263.51001</v>
          </cell>
          <cell r="D14">
            <v>3221</v>
          </cell>
        </row>
        <row r="15">
          <cell r="C15">
            <v>3249.419922</v>
          </cell>
          <cell r="D15">
            <v>3171.6000979999999</v>
          </cell>
        </row>
        <row r="16">
          <cell r="C16">
            <v>3226.969971</v>
          </cell>
          <cell r="D16">
            <v>3166</v>
          </cell>
        </row>
        <row r="17">
          <cell r="C17">
            <v>3222</v>
          </cell>
          <cell r="D17">
            <v>3180.080078</v>
          </cell>
        </row>
        <row r="18">
          <cell r="C18">
            <v>3210.1298830000001</v>
          </cell>
          <cell r="D18">
            <v>3184.169922</v>
          </cell>
        </row>
        <row r="19">
          <cell r="C19">
            <v>3202</v>
          </cell>
          <cell r="D19">
            <v>3169</v>
          </cell>
        </row>
        <row r="20">
          <cell r="C20">
            <v>3304</v>
          </cell>
          <cell r="D20">
            <v>3172.6899410000001</v>
          </cell>
        </row>
        <row r="21">
          <cell r="C21">
            <v>3350.6499020000001</v>
          </cell>
          <cell r="D21">
            <v>3281.219971</v>
          </cell>
        </row>
        <row r="22">
          <cell r="C22">
            <v>3342.1000979999999</v>
          </cell>
          <cell r="D22">
            <v>3282.469971</v>
          </cell>
        </row>
        <row r="23">
          <cell r="C23">
            <v>3282.919922</v>
          </cell>
          <cell r="D23">
            <v>3241.1999510000001</v>
          </cell>
        </row>
        <row r="24">
          <cell r="C24">
            <v>3272</v>
          </cell>
          <cell r="D24">
            <v>3144.0200199999999</v>
          </cell>
        </row>
        <row r="25">
          <cell r="C25">
            <v>3223.3798830000001</v>
          </cell>
          <cell r="D25">
            <v>3165.0600589999999</v>
          </cell>
        </row>
        <row r="26">
          <cell r="C26">
            <v>3197.51001</v>
          </cell>
          <cell r="D26">
            <v>3131.1599120000001</v>
          </cell>
        </row>
        <row r="27">
          <cell r="C27">
            <v>3208.540039</v>
          </cell>
          <cell r="D27">
            <v>3155</v>
          </cell>
        </row>
        <row r="28">
          <cell r="C28">
            <v>3190.639893</v>
          </cell>
          <cell r="D28">
            <v>3142.1999510000001</v>
          </cell>
        </row>
        <row r="29">
          <cell r="C29">
            <v>3156.3798830000001</v>
          </cell>
          <cell r="D29">
            <v>3110</v>
          </cell>
        </row>
        <row r="30">
          <cell r="C30">
            <v>3142.139893</v>
          </cell>
          <cell r="D30">
            <v>3086</v>
          </cell>
        </row>
        <row r="31">
          <cell r="C31">
            <v>3189.9499510000001</v>
          </cell>
          <cell r="D31">
            <v>3122.080078</v>
          </cell>
        </row>
        <row r="32">
          <cell r="C32">
            <v>3178</v>
          </cell>
          <cell r="D32">
            <v>3120.5900879999999</v>
          </cell>
        </row>
        <row r="33">
          <cell r="C33">
            <v>3142.5500489999999</v>
          </cell>
          <cell r="D33">
            <v>3095.169922</v>
          </cell>
        </row>
        <row r="34">
          <cell r="C34">
            <v>3145</v>
          </cell>
          <cell r="D34">
            <v>3096</v>
          </cell>
        </row>
        <row r="35">
          <cell r="C35">
            <v>3279.8000489999999</v>
          </cell>
          <cell r="D35">
            <v>3175</v>
          </cell>
        </row>
        <row r="36">
          <cell r="C36">
            <v>3348.5500489999999</v>
          </cell>
          <cell r="D36">
            <v>3289.570068</v>
          </cell>
        </row>
        <row r="37">
          <cell r="C37">
            <v>3321.9099120000001</v>
          </cell>
          <cell r="D37">
            <v>3283.1599120000001</v>
          </cell>
        </row>
        <row r="38">
          <cell r="C38">
            <v>3363.889893</v>
          </cell>
          <cell r="D38">
            <v>3243.1499020000001</v>
          </cell>
        </row>
        <row r="39">
          <cell r="C39">
            <v>3338</v>
          </cell>
          <cell r="D39">
            <v>3282.8701169999999</v>
          </cell>
        </row>
        <row r="40">
          <cell r="C40">
            <v>3346.5200199999999</v>
          </cell>
          <cell r="D40">
            <v>3207.080078</v>
          </cell>
        </row>
        <row r="41">
          <cell r="C41">
            <v>3301.679932</v>
          </cell>
          <cell r="D41">
            <v>3228.6899410000001</v>
          </cell>
        </row>
        <row r="42">
          <cell r="C42">
            <v>3236.98999</v>
          </cell>
          <cell r="D42">
            <v>3184.5500489999999</v>
          </cell>
        </row>
        <row r="43">
          <cell r="C43">
            <v>3350.26001</v>
          </cell>
          <cell r="D43">
            <v>3235.030029</v>
          </cell>
        </row>
        <row r="44">
          <cell r="C44">
            <v>3427.73999</v>
          </cell>
          <cell r="D44">
            <v>3361.1298830000001</v>
          </cell>
        </row>
        <row r="45">
          <cell r="C45">
            <v>3434</v>
          </cell>
          <cell r="D45">
            <v>3308.6201169999999</v>
          </cell>
        </row>
        <row r="46">
          <cell r="C46">
            <v>3347</v>
          </cell>
          <cell r="D46">
            <v>3277.75</v>
          </cell>
        </row>
        <row r="47">
          <cell r="C47">
            <v>3377</v>
          </cell>
          <cell r="D47">
            <v>3302.709961</v>
          </cell>
        </row>
        <row r="48">
          <cell r="C48">
            <v>3365</v>
          </cell>
          <cell r="D48">
            <v>3304</v>
          </cell>
        </row>
        <row r="49">
          <cell r="C49">
            <v>3338</v>
          </cell>
          <cell r="D49">
            <v>3297.8400879999999</v>
          </cell>
        </row>
        <row r="50">
          <cell r="C50">
            <v>3317.9499510000001</v>
          </cell>
          <cell r="D50">
            <v>3254</v>
          </cell>
        </row>
        <row r="51">
          <cell r="C51">
            <v>3292</v>
          </cell>
          <cell r="D51">
            <v>3248.0600589999999</v>
          </cell>
        </row>
        <row r="52">
          <cell r="C52">
            <v>3280.25</v>
          </cell>
          <cell r="D52">
            <v>3233.3100589999999</v>
          </cell>
        </row>
        <row r="53">
          <cell r="C53">
            <v>3308.3000489999999</v>
          </cell>
          <cell r="D53">
            <v>3253.5900879999999</v>
          </cell>
        </row>
        <row r="54">
          <cell r="C54">
            <v>3320.9099120000001</v>
          </cell>
          <cell r="D54">
            <v>3259.5</v>
          </cell>
        </row>
        <row r="55">
          <cell r="C55">
            <v>3338</v>
          </cell>
          <cell r="D55">
            <v>3273.9399410000001</v>
          </cell>
        </row>
        <row r="56">
          <cell r="C56">
            <v>3333.5</v>
          </cell>
          <cell r="D56">
            <v>3245.75</v>
          </cell>
        </row>
        <row r="57">
          <cell r="C57">
            <v>3232.320068</v>
          </cell>
          <cell r="D57">
            <v>3172.26001</v>
          </cell>
        </row>
        <row r="58">
          <cell r="C58">
            <v>3204.7299800000001</v>
          </cell>
          <cell r="D58">
            <v>3093.6000979999999</v>
          </cell>
        </row>
        <row r="59">
          <cell r="C59">
            <v>3171.2299800000001</v>
          </cell>
          <cell r="D59">
            <v>3125.3798830000001</v>
          </cell>
        </row>
        <row r="60">
          <cell r="C60">
            <v>3178.26001</v>
          </cell>
          <cell r="D60">
            <v>3047.76001</v>
          </cell>
        </row>
        <row r="61">
          <cell r="C61">
            <v>3122.4399410000001</v>
          </cell>
          <cell r="D61">
            <v>3036.6999510000001</v>
          </cell>
        </row>
        <row r="62">
          <cell r="C62">
            <v>3149.5600589999999</v>
          </cell>
          <cell r="D62">
            <v>3097.98999</v>
          </cell>
        </row>
        <row r="63">
          <cell r="C63">
            <v>3163.5200199999999</v>
          </cell>
          <cell r="D63">
            <v>3087.1201169999999</v>
          </cell>
        </row>
        <row r="64">
          <cell r="C64">
            <v>3107.780029</v>
          </cell>
          <cell r="D64">
            <v>2995</v>
          </cell>
        </row>
        <row r="65">
          <cell r="C65">
            <v>3058.1298830000001</v>
          </cell>
          <cell r="D65">
            <v>2945.429932</v>
          </cell>
        </row>
        <row r="66">
          <cell r="C66">
            <v>3009</v>
          </cell>
          <cell r="D66">
            <v>2881</v>
          </cell>
        </row>
        <row r="67">
          <cell r="C67">
            <v>3064.5900879999999</v>
          </cell>
          <cell r="D67">
            <v>2951.3100589999999</v>
          </cell>
        </row>
        <row r="68">
          <cell r="C68">
            <v>3090.959961</v>
          </cell>
          <cell r="D68">
            <v>3005.1499020000001</v>
          </cell>
        </row>
        <row r="69">
          <cell r="C69">
            <v>3116.459961</v>
          </cell>
          <cell r="D69">
            <v>3030.0500489999999</v>
          </cell>
        </row>
        <row r="70">
          <cell r="C70">
            <v>3131.780029</v>
          </cell>
          <cell r="D70">
            <v>3082.929932</v>
          </cell>
        </row>
        <row r="71">
          <cell r="C71">
            <v>3098.9799800000001</v>
          </cell>
          <cell r="D71">
            <v>3045.5</v>
          </cell>
        </row>
        <row r="72">
          <cell r="C72">
            <v>3082.23999</v>
          </cell>
          <cell r="D72">
            <v>3032.0900879999999</v>
          </cell>
        </row>
        <row r="73">
          <cell r="C73">
            <v>3128.9099120000001</v>
          </cell>
          <cell r="D73">
            <v>3075.860107</v>
          </cell>
        </row>
        <row r="74">
          <cell r="C74">
            <v>3173.0500489999999</v>
          </cell>
          <cell r="D74">
            <v>3070.219971</v>
          </cell>
        </row>
        <row r="75">
          <cell r="C75">
            <v>3116.6298830000001</v>
          </cell>
          <cell r="D75">
            <v>3025</v>
          </cell>
        </row>
        <row r="76">
          <cell r="C76">
            <v>3077.290039</v>
          </cell>
          <cell r="D76">
            <v>3016.6298830000001</v>
          </cell>
        </row>
        <row r="77">
          <cell r="C77">
            <v>3126.580078</v>
          </cell>
          <cell r="D77">
            <v>3060.0500489999999</v>
          </cell>
        </row>
        <row r="78">
          <cell r="C78">
            <v>3182</v>
          </cell>
          <cell r="D78">
            <v>3120.8500979999999</v>
          </cell>
        </row>
        <row r="79">
          <cell r="C79">
            <v>3160.3100589999999</v>
          </cell>
          <cell r="D79">
            <v>3085.1499020000001</v>
          </cell>
        </row>
        <row r="80">
          <cell r="C80">
            <v>3109.780029</v>
          </cell>
          <cell r="D80">
            <v>3037.139893</v>
          </cell>
        </row>
        <row r="81">
          <cell r="C81">
            <v>3056.6599120000001</v>
          </cell>
          <cell r="D81">
            <v>2996</v>
          </cell>
        </row>
        <row r="82">
          <cell r="C82">
            <v>3091.25</v>
          </cell>
          <cell r="D82">
            <v>3028.4499510000001</v>
          </cell>
        </row>
        <row r="83">
          <cell r="C83">
            <v>3073</v>
          </cell>
          <cell r="D83">
            <v>3034</v>
          </cell>
        </row>
        <row r="84">
          <cell r="C84">
            <v>3119.330078</v>
          </cell>
          <cell r="D84">
            <v>3062.5</v>
          </cell>
        </row>
        <row r="85">
          <cell r="C85">
            <v>3162.4399410000001</v>
          </cell>
          <cell r="D85">
            <v>3115.5500489999999</v>
          </cell>
        </row>
        <row r="86">
          <cell r="C86">
            <v>3235.959961</v>
          </cell>
          <cell r="D86">
            <v>3161.23999</v>
          </cell>
        </row>
        <row r="87">
          <cell r="C87">
            <v>3247.3100589999999</v>
          </cell>
          <cell r="D87">
            <v>3217.040039</v>
          </cell>
        </row>
        <row r="88">
          <cell r="C88">
            <v>3303.610107</v>
          </cell>
          <cell r="D88">
            <v>3223.6499020000001</v>
          </cell>
        </row>
        <row r="89">
          <cell r="C89">
            <v>3324.5</v>
          </cell>
          <cell r="D89">
            <v>3292</v>
          </cell>
        </row>
        <row r="90">
          <cell r="C90">
            <v>3372.1999510000001</v>
          </cell>
          <cell r="D90">
            <v>3288.8999020000001</v>
          </cell>
        </row>
        <row r="91">
          <cell r="C91">
            <v>3395.040039</v>
          </cell>
          <cell r="D91">
            <v>3351.1499020000001</v>
          </cell>
        </row>
        <row r="92">
          <cell r="C92">
            <v>3432</v>
          </cell>
          <cell r="D92">
            <v>3395.6298830000001</v>
          </cell>
        </row>
        <row r="93">
          <cell r="C93">
            <v>3404.1298830000001</v>
          </cell>
          <cell r="D93">
            <v>3326</v>
          </cell>
        </row>
        <row r="94">
          <cell r="C94">
            <v>3397</v>
          </cell>
          <cell r="D94">
            <v>3352</v>
          </cell>
        </row>
        <row r="95">
          <cell r="C95">
            <v>3406.8000489999999</v>
          </cell>
          <cell r="D95">
            <v>3355.5900879999999</v>
          </cell>
        </row>
        <row r="96">
          <cell r="C96">
            <v>3435.929932</v>
          </cell>
          <cell r="D96">
            <v>3360.1599120000001</v>
          </cell>
        </row>
        <row r="97">
          <cell r="C97">
            <v>3382.98999</v>
          </cell>
          <cell r="D97">
            <v>3316</v>
          </cell>
        </row>
        <row r="98">
          <cell r="C98">
            <v>3362.860107</v>
          </cell>
          <cell r="D98">
            <v>3303.8100589999999</v>
          </cell>
        </row>
        <row r="99">
          <cell r="C99">
            <v>3372.8701169999999</v>
          </cell>
          <cell r="D99">
            <v>3301.4499510000001</v>
          </cell>
        </row>
        <row r="100">
          <cell r="C100">
            <v>3375</v>
          </cell>
          <cell r="D100">
            <v>3308.5</v>
          </cell>
        </row>
        <row r="101">
          <cell r="C101">
            <v>3428.4499510000001</v>
          </cell>
          <cell r="D101">
            <v>3330.9399410000001</v>
          </cell>
        </row>
        <row r="102">
          <cell r="C102">
            <v>3460</v>
          </cell>
          <cell r="D102">
            <v>3398.01001</v>
          </cell>
        </row>
        <row r="103">
          <cell r="C103">
            <v>3489.8798830000001</v>
          </cell>
          <cell r="D103">
            <v>3425</v>
          </cell>
        </row>
        <row r="104">
          <cell r="C104">
            <v>3514.4499510000001</v>
          </cell>
          <cell r="D104">
            <v>3435</v>
          </cell>
        </row>
        <row r="105">
          <cell r="C105">
            <v>3554</v>
          </cell>
          <cell r="D105">
            <v>3462.5</v>
          </cell>
        </row>
        <row r="106">
          <cell r="C106">
            <v>3486.6499020000001</v>
          </cell>
          <cell r="D106">
            <v>3372.6999510000001</v>
          </cell>
        </row>
        <row r="107">
          <cell r="C107">
            <v>3367.9799800000001</v>
          </cell>
          <cell r="D107">
            <v>3272.1298830000001</v>
          </cell>
        </row>
        <row r="108">
          <cell r="C108">
            <v>3354.6999510000001</v>
          </cell>
          <cell r="D108">
            <v>3264.360107</v>
          </cell>
        </row>
        <row r="109">
          <cell r="C109">
            <v>3314.3999020000001</v>
          </cell>
          <cell r="D109">
            <v>3247.1999510000001</v>
          </cell>
        </row>
        <row r="110">
          <cell r="C110">
            <v>3330.889893</v>
          </cell>
          <cell r="D110">
            <v>3289.070068</v>
          </cell>
        </row>
        <row r="111">
          <cell r="C111">
            <v>3283</v>
          </cell>
          <cell r="D111">
            <v>3190</v>
          </cell>
        </row>
        <row r="112">
          <cell r="C112">
            <v>3238</v>
          </cell>
          <cell r="D112">
            <v>3127.3701169999999</v>
          </cell>
        </row>
        <row r="113">
          <cell r="C113">
            <v>3207.9399410000001</v>
          </cell>
          <cell r="D113">
            <v>3133.1000979999999</v>
          </cell>
        </row>
        <row r="114">
          <cell r="C114">
            <v>3203.8400879999999</v>
          </cell>
          <cell r="D114">
            <v>3133</v>
          </cell>
        </row>
        <row r="115">
          <cell r="C115">
            <v>3228.860107</v>
          </cell>
          <cell r="D115">
            <v>3183</v>
          </cell>
        </row>
        <row r="116">
          <cell r="C116">
            <v>3292.75</v>
          </cell>
          <cell r="D116">
            <v>3234.5900879999999</v>
          </cell>
        </row>
        <row r="117">
          <cell r="C117">
            <v>3312</v>
          </cell>
          <cell r="D117">
            <v>3230.3701169999999</v>
          </cell>
        </row>
        <row r="118">
          <cell r="C118">
            <v>3234.75</v>
          </cell>
          <cell r="D118">
            <v>3184</v>
          </cell>
        </row>
        <row r="119">
          <cell r="C119">
            <v>3259.679932</v>
          </cell>
          <cell r="D119">
            <v>3236.179932</v>
          </cell>
        </row>
        <row r="120">
          <cell r="C120">
            <v>3256.6899410000001</v>
          </cell>
          <cell r="D120">
            <v>3197.01001</v>
          </cell>
        </row>
        <row r="121">
          <cell r="C121">
            <v>3257.9499510000001</v>
          </cell>
          <cell r="D121">
            <v>3210.5</v>
          </cell>
        </row>
        <row r="122">
          <cell r="C122">
            <v>3279.820068</v>
          </cell>
          <cell r="D122">
            <v>3213.76001</v>
          </cell>
        </row>
        <row r="123">
          <cell r="C123">
            <v>3295.7299800000001</v>
          </cell>
          <cell r="D123">
            <v>3258.51001</v>
          </cell>
        </row>
        <row r="124">
          <cell r="C124">
            <v>3260.360107</v>
          </cell>
          <cell r="D124">
            <v>3230.040039</v>
          </cell>
        </row>
        <row r="125">
          <cell r="C125">
            <v>3247.98999</v>
          </cell>
          <cell r="D125">
            <v>3219.6999510000001</v>
          </cell>
        </row>
        <row r="126">
          <cell r="C126">
            <v>3250.9799800000001</v>
          </cell>
          <cell r="D126">
            <v>3209.0600589999999</v>
          </cell>
        </row>
        <row r="127">
          <cell r="C127">
            <v>3235</v>
          </cell>
          <cell r="D127">
            <v>3208</v>
          </cell>
        </row>
        <row r="128">
          <cell r="C128">
            <v>3214.4399410000001</v>
          </cell>
          <cell r="D128">
            <v>3184.030029</v>
          </cell>
        </row>
        <row r="129">
          <cell r="C129">
            <v>3221</v>
          </cell>
          <cell r="D129">
            <v>3198.8100589999999</v>
          </cell>
        </row>
        <row r="130">
          <cell r="C130">
            <v>3208</v>
          </cell>
          <cell r="D130">
            <v>3172.1999510000001</v>
          </cell>
        </row>
        <row r="131">
          <cell r="C131">
            <v>3279.530029</v>
          </cell>
          <cell r="D131">
            <v>3218.01001</v>
          </cell>
        </row>
        <row r="132">
          <cell r="C132">
            <v>3297.580078</v>
          </cell>
          <cell r="D132">
            <v>3270.6999510000001</v>
          </cell>
        </row>
        <row r="133">
          <cell r="C133">
            <v>3351</v>
          </cell>
          <cell r="D133">
            <v>3281.1499020000001</v>
          </cell>
        </row>
        <row r="134">
          <cell r="C134">
            <v>3366.580078</v>
          </cell>
          <cell r="D134">
            <v>3333.4499510000001</v>
          </cell>
        </row>
        <row r="135">
          <cell r="C135">
            <v>3385</v>
          </cell>
          <cell r="D135">
            <v>3335.5</v>
          </cell>
        </row>
        <row r="136">
          <cell r="C136">
            <v>3396.98999</v>
          </cell>
          <cell r="D136">
            <v>3363.110107</v>
          </cell>
        </row>
        <row r="137">
          <cell r="C137">
            <v>3426.3500979999999</v>
          </cell>
          <cell r="D137">
            <v>3360.530029</v>
          </cell>
        </row>
        <row r="138">
          <cell r="C138">
            <v>3497.1999510000001</v>
          </cell>
          <cell r="D138">
            <v>3401</v>
          </cell>
        </row>
        <row r="139">
          <cell r="C139">
            <v>3507</v>
          </cell>
          <cell r="D139">
            <v>3473.709961</v>
          </cell>
        </row>
        <row r="140">
          <cell r="C140">
            <v>3482</v>
          </cell>
          <cell r="D140">
            <v>3434</v>
          </cell>
        </row>
        <row r="141">
          <cell r="C141">
            <v>3523.780029</v>
          </cell>
          <cell r="D141">
            <v>3456.0900879999999</v>
          </cell>
        </row>
        <row r="142">
          <cell r="C142">
            <v>3521</v>
          </cell>
          <cell r="D142">
            <v>3483.1999510000001</v>
          </cell>
        </row>
        <row r="143">
          <cell r="C143">
            <v>3524.860107</v>
          </cell>
          <cell r="D143">
            <v>3430.8500979999999</v>
          </cell>
        </row>
        <row r="144">
          <cell r="C144">
            <v>3464.820068</v>
          </cell>
          <cell r="D144">
            <v>3394.179932</v>
          </cell>
        </row>
        <row r="145">
          <cell r="C145">
            <v>3448</v>
          </cell>
          <cell r="D145">
            <v>3413.51001</v>
          </cell>
        </row>
        <row r="146">
          <cell r="C146">
            <v>3456.030029</v>
          </cell>
          <cell r="D146">
            <v>3423.030029</v>
          </cell>
        </row>
        <row r="147">
          <cell r="C147">
            <v>3471.6000979999999</v>
          </cell>
          <cell r="D147">
            <v>3435</v>
          </cell>
        </row>
        <row r="148">
          <cell r="C148">
            <v>3457</v>
          </cell>
          <cell r="D148">
            <v>3409.419922</v>
          </cell>
        </row>
        <row r="149">
          <cell r="C149">
            <v>3511.719971</v>
          </cell>
          <cell r="D149">
            <v>3436.919922</v>
          </cell>
        </row>
        <row r="150">
          <cell r="C150">
            <v>3685.4799800000001</v>
          </cell>
          <cell r="D150">
            <v>3529</v>
          </cell>
        </row>
        <row r="151">
          <cell r="C151">
            <v>3734.1999510000001</v>
          </cell>
          <cell r="D151">
            <v>3678.9099120000001</v>
          </cell>
        </row>
        <row r="152">
          <cell r="C152">
            <v>3759.98999</v>
          </cell>
          <cell r="D152">
            <v>3621.1201169999999</v>
          </cell>
        </row>
        <row r="153">
          <cell r="C153">
            <v>3748</v>
          </cell>
          <cell r="D153">
            <v>3693.3999020000001</v>
          </cell>
        </row>
        <row r="154">
          <cell r="C154">
            <v>3757.290039</v>
          </cell>
          <cell r="D154">
            <v>3696.790039</v>
          </cell>
        </row>
        <row r="155">
          <cell r="C155">
            <v>3773.080078</v>
          </cell>
          <cell r="D155">
            <v>3671.320068</v>
          </cell>
        </row>
        <row r="156">
          <cell r="C156">
            <v>3717.6599120000001</v>
          </cell>
          <cell r="D156">
            <v>3660.830078</v>
          </cell>
        </row>
        <row r="157">
          <cell r="C157">
            <v>3695.3999020000001</v>
          </cell>
          <cell r="D157">
            <v>3620.919922</v>
          </cell>
        </row>
        <row r="158">
          <cell r="C158">
            <v>3646.0600589999999</v>
          </cell>
          <cell r="D158">
            <v>3570.459961</v>
          </cell>
        </row>
        <row r="159">
          <cell r="C159">
            <v>3550.209961</v>
          </cell>
          <cell r="D159">
            <v>3499.1599120000001</v>
          </cell>
        </row>
        <row r="160">
          <cell r="C160">
            <v>3592</v>
          </cell>
          <cell r="D160">
            <v>3518</v>
          </cell>
        </row>
        <row r="161">
          <cell r="C161">
            <v>3586.4499510000001</v>
          </cell>
          <cell r="D161">
            <v>3543.639893</v>
          </cell>
        </row>
        <row r="162">
          <cell r="C162">
            <v>3640.0200199999999</v>
          </cell>
          <cell r="D162">
            <v>3582.2700199999999</v>
          </cell>
        </row>
        <row r="163">
          <cell r="C163">
            <v>3666.110107</v>
          </cell>
          <cell r="D163">
            <v>3622.040039</v>
          </cell>
        </row>
        <row r="164">
          <cell r="C164">
            <v>3712.080078</v>
          </cell>
          <cell r="D164">
            <v>3647.25</v>
          </cell>
        </row>
        <row r="165">
          <cell r="C165">
            <v>3698.5</v>
          </cell>
          <cell r="D165">
            <v>3586.1499020000001</v>
          </cell>
        </row>
        <row r="166">
          <cell r="C166">
            <v>3658.419922</v>
          </cell>
          <cell r="D166">
            <v>3601</v>
          </cell>
        </row>
        <row r="167">
          <cell r="C167">
            <v>3637.9499510000001</v>
          </cell>
          <cell r="D167">
            <v>3580.01001</v>
          </cell>
        </row>
        <row r="168">
          <cell r="C168">
            <v>3368.139893</v>
          </cell>
          <cell r="D168">
            <v>3306.9799800000001</v>
          </cell>
        </row>
        <row r="169">
          <cell r="C169">
            <v>3358.919922</v>
          </cell>
          <cell r="D169">
            <v>3317</v>
          </cell>
        </row>
        <row r="170">
          <cell r="C170">
            <v>3391</v>
          </cell>
          <cell r="D170">
            <v>3299.7700199999999</v>
          </cell>
        </row>
        <row r="171">
          <cell r="C171">
            <v>3388.8798830000001</v>
          </cell>
          <cell r="D171">
            <v>3345.5600589999999</v>
          </cell>
        </row>
        <row r="172">
          <cell r="C172">
            <v>3389</v>
          </cell>
          <cell r="D172">
            <v>3340.919922</v>
          </cell>
        </row>
        <row r="173">
          <cell r="C173">
            <v>3375</v>
          </cell>
          <cell r="D173">
            <v>3329.040039</v>
          </cell>
        </row>
        <row r="174">
          <cell r="C174">
            <v>3354.8798830000001</v>
          </cell>
          <cell r="D174">
            <v>3328.5200199999999</v>
          </cell>
        </row>
        <row r="175">
          <cell r="C175">
            <v>3358</v>
          </cell>
          <cell r="D175">
            <v>3315</v>
          </cell>
        </row>
        <row r="176">
          <cell r="C176">
            <v>3337.6999510000001</v>
          </cell>
          <cell r="D176">
            <v>3277.790039</v>
          </cell>
        </row>
        <row r="177">
          <cell r="C177">
            <v>3314.51001</v>
          </cell>
          <cell r="D177">
            <v>3269.669922</v>
          </cell>
        </row>
        <row r="178">
          <cell r="C178">
            <v>3306.070068</v>
          </cell>
          <cell r="D178">
            <v>3283</v>
          </cell>
        </row>
        <row r="179">
          <cell r="C179">
            <v>3300</v>
          </cell>
          <cell r="D179">
            <v>3211.1298830000001</v>
          </cell>
        </row>
        <row r="180">
          <cell r="C180">
            <v>3280.48999</v>
          </cell>
          <cell r="D180">
            <v>3225.679932</v>
          </cell>
        </row>
        <row r="181">
          <cell r="C181">
            <v>3254.1000979999999</v>
          </cell>
          <cell r="D181">
            <v>3200</v>
          </cell>
        </row>
        <row r="182">
          <cell r="C182">
            <v>3233</v>
          </cell>
          <cell r="D182">
            <v>3182.459961</v>
          </cell>
        </row>
        <row r="183">
          <cell r="C183">
            <v>3207.8100589999999</v>
          </cell>
          <cell r="D183">
            <v>3175.76001</v>
          </cell>
        </row>
        <row r="184">
          <cell r="C184">
            <v>3280.8999020000001</v>
          </cell>
          <cell r="D184">
            <v>3210.01001</v>
          </cell>
        </row>
        <row r="185">
          <cell r="C185">
            <v>3315.48999</v>
          </cell>
          <cell r="D185">
            <v>3274.580078</v>
          </cell>
        </row>
        <row r="186">
          <cell r="C186">
            <v>3321</v>
          </cell>
          <cell r="D186">
            <v>3286.1499020000001</v>
          </cell>
        </row>
        <row r="187">
          <cell r="C187">
            <v>3332</v>
          </cell>
          <cell r="D187">
            <v>3296</v>
          </cell>
        </row>
        <row r="188">
          <cell r="C188">
            <v>3352.320068</v>
          </cell>
          <cell r="D188">
            <v>3313.75</v>
          </cell>
        </row>
        <row r="189">
          <cell r="C189">
            <v>3445</v>
          </cell>
          <cell r="D189">
            <v>3355.219971</v>
          </cell>
        </row>
        <row r="190">
          <cell r="C190">
            <v>3472.580078</v>
          </cell>
          <cell r="D190">
            <v>3395.5900879999999</v>
          </cell>
        </row>
        <row r="191">
          <cell r="C191">
            <v>3527</v>
          </cell>
          <cell r="D191">
            <v>3475.23999</v>
          </cell>
        </row>
        <row r="192">
          <cell r="C192">
            <v>3511.959961</v>
          </cell>
          <cell r="D192">
            <v>3455</v>
          </cell>
        </row>
        <row r="193">
          <cell r="C193">
            <v>3482.669922</v>
          </cell>
          <cell r="D193">
            <v>3436.4399410000001</v>
          </cell>
        </row>
        <row r="194">
          <cell r="C194">
            <v>3528.0900879999999</v>
          </cell>
          <cell r="D194">
            <v>3476.9399410000001</v>
          </cell>
        </row>
        <row r="195">
          <cell r="C195">
            <v>3545.6298830000001</v>
          </cell>
          <cell r="D195">
            <v>3495.669922</v>
          </cell>
        </row>
        <row r="196">
          <cell r="C196">
            <v>3549.98999</v>
          </cell>
          <cell r="D196">
            <v>3480.3701169999999</v>
          </cell>
        </row>
        <row r="197">
          <cell r="C197">
            <v>3508.4499510000001</v>
          </cell>
          <cell r="D197">
            <v>3462.9099120000001</v>
          </cell>
        </row>
        <row r="198">
          <cell r="C198">
            <v>3497.959961</v>
          </cell>
          <cell r="D198">
            <v>3438</v>
          </cell>
        </row>
        <row r="199">
          <cell r="C199">
            <v>3486.8100589999999</v>
          </cell>
          <cell r="D199">
            <v>3437.709961</v>
          </cell>
        </row>
        <row r="200">
          <cell r="C200">
            <v>3485.419922</v>
          </cell>
          <cell r="D200">
            <v>3402.01001</v>
          </cell>
        </row>
        <row r="201">
          <cell r="C201">
            <v>3492.5500489999999</v>
          </cell>
          <cell r="D201">
            <v>3446.139893</v>
          </cell>
        </row>
        <row r="202">
          <cell r="C202">
            <v>3497.4099120000001</v>
          </cell>
          <cell r="D202">
            <v>3452.1298830000001</v>
          </cell>
        </row>
        <row r="203">
          <cell r="C203">
            <v>3419</v>
          </cell>
          <cell r="D203">
            <v>3305.01001</v>
          </cell>
        </row>
        <row r="204">
          <cell r="C204">
            <v>3379.6999510000001</v>
          </cell>
          <cell r="D204">
            <v>3332.389893</v>
          </cell>
        </row>
        <row r="205">
          <cell r="C205">
            <v>3389</v>
          </cell>
          <cell r="D205">
            <v>3341.0500489999999</v>
          </cell>
        </row>
        <row r="206">
          <cell r="C206">
            <v>3428.959961</v>
          </cell>
          <cell r="D206">
            <v>3380.0500489999999</v>
          </cell>
        </row>
        <row r="207">
          <cell r="C207">
            <v>3429.26001</v>
          </cell>
          <cell r="D207">
            <v>3393.3999020000001</v>
          </cell>
        </row>
        <row r="208">
          <cell r="C208">
            <v>3415.570068</v>
          </cell>
          <cell r="D208">
            <v>3339.610107</v>
          </cell>
        </row>
        <row r="209">
          <cell r="C209">
            <v>3369.1899410000001</v>
          </cell>
          <cell r="D209">
            <v>3290.1000979999999</v>
          </cell>
        </row>
        <row r="210">
          <cell r="C210">
            <v>3351.3000489999999</v>
          </cell>
          <cell r="D210">
            <v>3297.8701169999999</v>
          </cell>
        </row>
        <row r="211">
          <cell r="C211">
            <v>3327.8500979999999</v>
          </cell>
          <cell r="D211">
            <v>3273.98999</v>
          </cell>
        </row>
        <row r="212">
          <cell r="C212">
            <v>3309.169922</v>
          </cell>
          <cell r="D212">
            <v>3255.9399410000001</v>
          </cell>
        </row>
        <row r="213">
          <cell r="C213">
            <v>3279.98999</v>
          </cell>
          <cell r="D213">
            <v>3176.25</v>
          </cell>
        </row>
        <row r="214">
          <cell r="C214">
            <v>3260.7299800000001</v>
          </cell>
          <cell r="D214">
            <v>3202.459961</v>
          </cell>
        </row>
        <row r="215">
          <cell r="C215">
            <v>3264.3400879999999</v>
          </cell>
          <cell r="D215">
            <v>3198.6201169999999</v>
          </cell>
        </row>
        <row r="216">
          <cell r="C216">
            <v>3325.75</v>
          </cell>
          <cell r="D216">
            <v>3283.0600589999999</v>
          </cell>
        </row>
        <row r="217">
          <cell r="C217">
            <v>3321.429932</v>
          </cell>
          <cell r="D217">
            <v>3288.1999510000001</v>
          </cell>
        </row>
        <row r="218">
          <cell r="C218">
            <v>3292.5900879999999</v>
          </cell>
          <cell r="D218">
            <v>3238.1000979999999</v>
          </cell>
        </row>
        <row r="219">
          <cell r="C219">
            <v>3267.530029</v>
          </cell>
          <cell r="D219">
            <v>3236.280029</v>
          </cell>
        </row>
        <row r="220">
          <cell r="C220">
            <v>3288.3798830000001</v>
          </cell>
          <cell r="D220">
            <v>3261.0900879999999</v>
          </cell>
        </row>
        <row r="221">
          <cell r="C221">
            <v>3312.6000979999999</v>
          </cell>
          <cell r="D221">
            <v>3290.780029</v>
          </cell>
        </row>
        <row r="222">
          <cell r="C222">
            <v>3410.419922</v>
          </cell>
          <cell r="D222">
            <v>3304</v>
          </cell>
        </row>
        <row r="223">
          <cell r="C223">
            <v>3449.169922</v>
          </cell>
          <cell r="D223">
            <v>3385.1000979999999</v>
          </cell>
        </row>
        <row r="224">
          <cell r="C224">
            <v>3454.6899410000001</v>
          </cell>
          <cell r="D224">
            <v>3422</v>
          </cell>
        </row>
        <row r="225">
          <cell r="C225">
            <v>3462.860107</v>
          </cell>
          <cell r="D225">
            <v>3400.3701169999999</v>
          </cell>
        </row>
        <row r="226">
          <cell r="C226">
            <v>3440.280029</v>
          </cell>
          <cell r="D226">
            <v>3403</v>
          </cell>
        </row>
        <row r="227">
          <cell r="C227">
            <v>3429.8400879999999</v>
          </cell>
          <cell r="D227">
            <v>3331.3000489999999</v>
          </cell>
        </row>
        <row r="228">
          <cell r="C228">
            <v>3347.8000489999999</v>
          </cell>
          <cell r="D228">
            <v>3297.6999510000001</v>
          </cell>
        </row>
        <row r="229">
          <cell r="C229">
            <v>3416.1201169999999</v>
          </cell>
          <cell r="D229">
            <v>3343.9799800000001</v>
          </cell>
        </row>
        <row r="230">
          <cell r="C230">
            <v>3437</v>
          </cell>
          <cell r="D230">
            <v>3371.4499510000001</v>
          </cell>
        </row>
        <row r="231">
          <cell r="C231">
            <v>3479</v>
          </cell>
          <cell r="D231">
            <v>3386</v>
          </cell>
        </row>
        <row r="232">
          <cell r="C232">
            <v>3374.820068</v>
          </cell>
          <cell r="D232">
            <v>3273.320068</v>
          </cell>
        </row>
        <row r="233">
          <cell r="C233">
            <v>3375.860107</v>
          </cell>
          <cell r="D233">
            <v>3292.0200199999999</v>
          </cell>
        </row>
        <row r="234">
          <cell r="C234">
            <v>3331.1201169999999</v>
          </cell>
          <cell r="D234">
            <v>3283.5500489999999</v>
          </cell>
        </row>
        <row r="235">
          <cell r="C235">
            <v>3394.919922</v>
          </cell>
          <cell r="D235">
            <v>3297.5200199999999</v>
          </cell>
        </row>
        <row r="236">
          <cell r="C236">
            <v>3498.6298830000001</v>
          </cell>
          <cell r="D236">
            <v>3365</v>
          </cell>
        </row>
        <row r="237">
          <cell r="C237">
            <v>3566.25</v>
          </cell>
          <cell r="D237">
            <v>3476.9799800000001</v>
          </cell>
        </row>
        <row r="238">
          <cell r="C238">
            <v>3579</v>
          </cell>
          <cell r="D238">
            <v>3487.860107</v>
          </cell>
        </row>
        <row r="239">
          <cell r="C239">
            <v>3593.7700199999999</v>
          </cell>
          <cell r="D239">
            <v>3501.429932</v>
          </cell>
        </row>
        <row r="240">
          <cell r="C240">
            <v>3605.4499510000001</v>
          </cell>
          <cell r="D240">
            <v>3463.0900879999999</v>
          </cell>
        </row>
        <row r="241">
          <cell r="C241">
            <v>3543.23999</v>
          </cell>
          <cell r="D241">
            <v>3467.469971</v>
          </cell>
        </row>
        <row r="242">
          <cell r="C242">
            <v>3540.7299800000001</v>
          </cell>
          <cell r="D242">
            <v>3447.0500489999999</v>
          </cell>
        </row>
        <row r="243">
          <cell r="C243">
            <v>3593.8798830000001</v>
          </cell>
          <cell r="D243">
            <v>3525.8100589999999</v>
          </cell>
        </row>
        <row r="244">
          <cell r="C244">
            <v>3576.5</v>
          </cell>
          <cell r="D244">
            <v>3525.1499020000001</v>
          </cell>
        </row>
        <row r="245">
          <cell r="C245">
            <v>3587.25</v>
          </cell>
          <cell r="D245">
            <v>3545.3500979999999</v>
          </cell>
        </row>
        <row r="246">
          <cell r="C246">
            <v>3704.1999510000001</v>
          </cell>
          <cell r="D246">
            <v>3561</v>
          </cell>
        </row>
        <row r="247">
          <cell r="C247">
            <v>3762.1499020000001</v>
          </cell>
          <cell r="D247">
            <v>3675.719971</v>
          </cell>
        </row>
        <row r="248">
          <cell r="C248">
            <v>3713.459961</v>
          </cell>
          <cell r="D248">
            <v>3567.5</v>
          </cell>
        </row>
        <row r="249">
          <cell r="C249">
            <v>3621.0500489999999</v>
          </cell>
          <cell r="D249">
            <v>3527.709961</v>
          </cell>
        </row>
        <row r="250">
          <cell r="C250">
            <v>3613.639893</v>
          </cell>
          <cell r="D250">
            <v>3536.8500979999999</v>
          </cell>
        </row>
        <row r="251">
          <cell r="C251">
            <v>3633.5</v>
          </cell>
          <cell r="D251">
            <v>3504.1499020000001</v>
          </cell>
        </row>
        <row r="252">
          <cell r="C252">
            <v>3596</v>
          </cell>
          <cell r="D252">
            <v>3531.5</v>
          </cell>
        </row>
        <row r="253">
          <cell r="C253">
            <v>3585.7700199999999</v>
          </cell>
          <cell r="D253">
            <v>3492.01001</v>
          </cell>
        </row>
      </sheetData>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efreshedDate="46195.496914467592" createdVersion="8" refreshedVersion="8" minRefreshableVersion="3" recordCount="252" xr:uid="{04F0E139-27DA-0C4A-911F-B70767409A56}">
  <cacheSource type="worksheet">
    <worksheetSource name="dataset"/>
  </cacheSource>
  <cacheFields count="10">
    <cacheField name="Date" numFmtId="14">
      <sharedItems containsSemiMixedTypes="0" containsNonDate="0" containsDate="1" containsString="0" minDate="2020-12-01T00:00:00" maxDate="2021-12-01T00:00:00" count="252">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sharedItems>
      <fieldGroup par="9"/>
    </cacheField>
    <cacheField name="Open" numFmtId="0">
      <sharedItems containsSemiMixedTypes="0" containsString="0" containsNumber="1" minValue="3005" maxValue="3744"/>
    </cacheField>
    <cacheField name="High" numFmtId="0">
      <sharedItems containsSemiMixedTypes="0" containsString="0" containsNumber="1" minValue="3009" maxValue="3773.080078"/>
    </cacheField>
    <cacheField name="Low" numFmtId="0">
      <sharedItems containsSemiMixedTypes="0" containsString="0" containsNumber="1" minValue="2881" maxValue="3696.790039"/>
    </cacheField>
    <cacheField name="Close" numFmtId="0">
      <sharedItems containsSemiMixedTypes="0" containsString="0" containsNumber="1" minValue="2951.9499510000001" maxValue="3731.4099120000001"/>
    </cacheField>
    <cacheField name="Volume" numFmtId="0">
      <sharedItems containsSemiMixedTypes="0" containsString="0" containsNumber="1" containsInteger="1" minValue="1451900" maxValue="9957100"/>
    </cacheField>
    <cacheField name="Daily change" numFmtId="0">
      <sharedItems containsSemiMixedTypes="0" containsString="0" containsNumber="1" minValue="-112.47998099999995" maxValue="145.62988300000006"/>
    </cacheField>
    <cacheField name="Months (Date)" numFmtId="0" databaseField="0">
      <fieldGroup base="0">
        <rangePr groupBy="months" startDate="2020-12-01T00:00:00" endDate="2021-12-01T00:00:00"/>
        <groupItems count="14">
          <s v="&lt;01/12/2020"/>
          <s v="Jan"/>
          <s v="Feb"/>
          <s v="Mar"/>
          <s v="Apr"/>
          <s v="May"/>
          <s v="Jun"/>
          <s v="Jul"/>
          <s v="Aug"/>
          <s v="Sep"/>
          <s v="Oct"/>
          <s v="Nov"/>
          <s v="Dec"/>
          <s v="&gt;01/12/2021"/>
        </groupItems>
      </fieldGroup>
    </cacheField>
    <cacheField name="Quarters (Date)" numFmtId="0" databaseField="0">
      <fieldGroup base="0">
        <rangePr groupBy="quarters" startDate="2020-12-01T00:00:00" endDate="2021-12-01T00:00:00"/>
        <groupItems count="6">
          <s v="&lt;01/12/2020"/>
          <s v="Qtr1"/>
          <s v="Qtr2"/>
          <s v="Qtr3"/>
          <s v="Qtr4"/>
          <s v="&gt;01/12/2021"/>
        </groupItems>
      </fieldGroup>
    </cacheField>
    <cacheField name="Years (Date)" numFmtId="0" databaseField="0">
      <fieldGroup base="0">
        <rangePr groupBy="years" startDate="2020-12-01T00:00:00" endDate="2021-12-01T00:00:00"/>
        <groupItems count="4">
          <s v="&lt;01/12/2020"/>
          <s v="2020"/>
          <s v="2021"/>
          <s v="&gt;01/12/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n v="3188.5"/>
    <n v="3248.9499510000001"/>
    <n v="3157.179932"/>
    <n v="3220.080078"/>
    <n v="4537000"/>
    <n v="31.580077999999958"/>
  </r>
  <r>
    <x v="1"/>
    <n v="3221.6499020000001"/>
    <n v="3232"/>
    <n v="3173.26001"/>
    <n v="3203.530029"/>
    <n v="3129300"/>
    <n v="-18.119873000000098"/>
  </r>
  <r>
    <x v="2"/>
    <n v="3205.459961"/>
    <n v="3228.639893"/>
    <n v="3181.3100589999999"/>
    <n v="3186.7299800000001"/>
    <n v="2892000"/>
    <n v="-18.729980999999952"/>
  </r>
  <r>
    <x v="3"/>
    <n v="3198.209961"/>
    <n v="3198.209961"/>
    <n v="3158.76001"/>
    <n v="3162.580078"/>
    <n v="2913600"/>
    <n v="-35.629883000000063"/>
  </r>
  <r>
    <x v="4"/>
    <n v="3156.4799800000001"/>
    <n v="3180.76001"/>
    <n v="3141.6899410000001"/>
    <n v="3158"/>
    <n v="2751300"/>
    <n v="1.5200199999999313"/>
  </r>
  <r>
    <x v="5"/>
    <n v="3158.8999020000001"/>
    <n v="3184.1298830000001"/>
    <n v="3120.0200199999999"/>
    <n v="3177.290039"/>
    <n v="3286300"/>
    <n v="18.390136999999868"/>
  </r>
  <r>
    <x v="6"/>
    <n v="3167.889893"/>
    <n v="3174.429932"/>
    <n v="3088"/>
    <n v="3104.1999510000001"/>
    <n v="4100800"/>
    <n v="-63.689941999999974"/>
  </r>
  <r>
    <x v="7"/>
    <n v="3088.98999"/>
    <n v="3142.1000979999999"/>
    <n v="3076"/>
    <n v="3101.48999"/>
    <n v="3030200"/>
    <n v="12.5"/>
  </r>
  <r>
    <x v="8"/>
    <n v="3096.6599120000001"/>
    <n v="3118.669922"/>
    <n v="3072.820068"/>
    <n v="3116.419922"/>
    <n v="3064700"/>
    <n v="19.760009999999966"/>
  </r>
  <r>
    <x v="9"/>
    <n v="3143"/>
    <n v="3190.469971"/>
    <n v="3126"/>
    <n v="3156.969971"/>
    <n v="4155800"/>
    <n v="13.969970999999987"/>
  </r>
  <r>
    <x v="10"/>
    <n v="3181.01001"/>
    <n v="3188.5"/>
    <n v="3130.48999"/>
    <n v="3165.1201169999999"/>
    <n v="3319500"/>
    <n v="-15.889893000000029"/>
  </r>
  <r>
    <x v="11"/>
    <n v="3176.01001"/>
    <n v="3247"/>
    <n v="3163.679932"/>
    <n v="3240.959961"/>
    <n v="4427600"/>
    <n v="64.949951000000056"/>
  </r>
  <r>
    <x v="12"/>
    <n v="3250"/>
    <n v="3263.51001"/>
    <n v="3221"/>
    <n v="3236.080078"/>
    <n v="3474300"/>
    <n v="-13.919922000000042"/>
  </r>
  <r>
    <x v="13"/>
    <n v="3243.98999"/>
    <n v="3249.419922"/>
    <n v="3171.6000979999999"/>
    <n v="3201.6499020000001"/>
    <n v="5995700"/>
    <n v="-42.340087999999923"/>
  </r>
  <r>
    <x v="14"/>
    <n v="3200.01001"/>
    <n v="3226.969971"/>
    <n v="3166"/>
    <n v="3206.179932"/>
    <n v="3836800"/>
    <n v="6.1699220000000423"/>
  </r>
  <r>
    <x v="15"/>
    <n v="3202.8400879999999"/>
    <n v="3222"/>
    <n v="3180.080078"/>
    <n v="3206.5200199999999"/>
    <n v="2369400"/>
    <n v="3.679932000000008"/>
  </r>
  <r>
    <x v="16"/>
    <n v="3205"/>
    <n v="3210.1298830000001"/>
    <n v="3184.169922"/>
    <n v="3185.2700199999999"/>
    <n v="2093800"/>
    <n v="-19.729980000000069"/>
  </r>
  <r>
    <x v="17"/>
    <n v="3193.8999020000001"/>
    <n v="3202"/>
    <n v="3169"/>
    <n v="3172.6899410000001"/>
    <n v="1451900"/>
    <n v="-21.209961000000021"/>
  </r>
  <r>
    <x v="18"/>
    <n v="3194"/>
    <n v="3304"/>
    <n v="3172.6899410000001"/>
    <n v="3283.959961"/>
    <n v="5686800"/>
    <n v="89.959961000000021"/>
  </r>
  <r>
    <x v="19"/>
    <n v="3309.9399410000001"/>
    <n v="3350.6499020000001"/>
    <n v="3281.219971"/>
    <n v="3322"/>
    <n v="4872900"/>
    <n v="12.06005899999991"/>
  </r>
  <r>
    <x v="20"/>
    <n v="3341"/>
    <n v="3342.1000979999999"/>
    <n v="3282.469971"/>
    <n v="3285.8500979999999"/>
    <n v="3209300"/>
    <n v="-55.149902000000111"/>
  </r>
  <r>
    <x v="21"/>
    <n v="3275"/>
    <n v="3282.919922"/>
    <n v="3241.1999510000001"/>
    <n v="3256.929932"/>
    <n v="2957200"/>
    <n v="-18.070067999999992"/>
  </r>
  <r>
    <x v="22"/>
    <n v="3270"/>
    <n v="3272"/>
    <n v="3144.0200199999999"/>
    <n v="3186.6298830000001"/>
    <n v="4411400"/>
    <n v="-83.370116999999937"/>
  </r>
  <r>
    <x v="23"/>
    <n v="3166.01001"/>
    <n v="3223.3798830000001"/>
    <n v="3165.0600589999999"/>
    <n v="3218.51001"/>
    <n v="2655500"/>
    <n v="52.5"/>
  </r>
  <r>
    <x v="24"/>
    <n v="3146.4799800000001"/>
    <n v="3197.51001"/>
    <n v="3131.1599120000001"/>
    <n v="3138.3798830000001"/>
    <n v="4394800"/>
    <n v="-8.1000970000000052"/>
  </r>
  <r>
    <x v="25"/>
    <n v="3157"/>
    <n v="3208.540039"/>
    <n v="3155"/>
    <n v="3162.1599120000001"/>
    <n v="3514500"/>
    <n v="5.1599120000000767"/>
  </r>
  <r>
    <x v="26"/>
    <n v="3180"/>
    <n v="3190.639893"/>
    <n v="3142.1999510000001"/>
    <n v="3182.6999510000001"/>
    <n v="3537700"/>
    <n v="2.6999510000000555"/>
  </r>
  <r>
    <x v="27"/>
    <n v="3148.01001"/>
    <n v="3156.3798830000001"/>
    <n v="3110"/>
    <n v="3114.209961"/>
    <n v="3683400"/>
    <n v="-33.800048999999944"/>
  </r>
  <r>
    <x v="28"/>
    <n v="3120"/>
    <n v="3142.139893"/>
    <n v="3086"/>
    <n v="3120.830078"/>
    <n v="3514600"/>
    <n v="0.83007799999995768"/>
  </r>
  <r>
    <x v="29"/>
    <n v="3128.4399410000001"/>
    <n v="3189.9499510000001"/>
    <n v="3122.080078"/>
    <n v="3165.889893"/>
    <n v="3321200"/>
    <n v="37.449951999999939"/>
  </r>
  <r>
    <x v="30"/>
    <n v="3167.5200199999999"/>
    <n v="3178"/>
    <n v="3120.5900879999999"/>
    <n v="3127.469971"/>
    <n v="3070900"/>
    <n v="-40.050048999999944"/>
  </r>
  <r>
    <x v="31"/>
    <n v="3123.0200199999999"/>
    <n v="3142.5500489999999"/>
    <n v="3095.169922"/>
    <n v="3104.25"/>
    <n v="4244000"/>
    <n v="-18.770019999999931"/>
  </r>
  <r>
    <x v="32"/>
    <n v="3107"/>
    <n v="3145"/>
    <n v="3096"/>
    <n v="3120.76001"/>
    <n v="3305100"/>
    <n v="13.760009999999966"/>
  </r>
  <r>
    <x v="33"/>
    <n v="3181.98999"/>
    <n v="3279.8000489999999"/>
    <n v="3175"/>
    <n v="3263.3798830000001"/>
    <n v="5309800"/>
    <n v="81.389893000000029"/>
  </r>
  <r>
    <x v="34"/>
    <n v="3293"/>
    <n v="3348.5500489999999"/>
    <n v="3289.570068"/>
    <n v="3306.98999"/>
    <n v="4936100"/>
    <n v="13.989990000000034"/>
  </r>
  <r>
    <x v="35"/>
    <n v="3304.3100589999999"/>
    <n v="3321.9099120000001"/>
    <n v="3283.1599120000001"/>
    <n v="3292.2299800000001"/>
    <n v="2821900"/>
    <n v="-12.080078999999841"/>
  </r>
  <r>
    <x v="36"/>
    <n v="3328.5"/>
    <n v="3363.889893"/>
    <n v="3243.1499020000001"/>
    <n v="3294"/>
    <n v="3749800"/>
    <n v="-34.5"/>
  </r>
  <r>
    <x v="37"/>
    <n v="3296.360107"/>
    <n v="3338"/>
    <n v="3282.8701169999999"/>
    <n v="3326.1298830000001"/>
    <n v="2955200"/>
    <n v="29.769776000000093"/>
  </r>
  <r>
    <x v="38"/>
    <n v="3341.48999"/>
    <n v="3346.5200199999999"/>
    <n v="3207.080078"/>
    <n v="3232.580078"/>
    <n v="4660200"/>
    <n v="-108.90991200000008"/>
  </r>
  <r>
    <x v="39"/>
    <n v="3235.040039"/>
    <n v="3301.679932"/>
    <n v="3228.6899410000001"/>
    <n v="3237.6201169999999"/>
    <n v="3149200"/>
    <n v="2.5800779999999577"/>
  </r>
  <r>
    <x v="40"/>
    <n v="3230"/>
    <n v="3236.98999"/>
    <n v="3184.5500489999999"/>
    <n v="3206.1999510000001"/>
    <n v="4293600"/>
    <n v="-23.800048999999944"/>
  </r>
  <r>
    <x v="41"/>
    <n v="3242.360107"/>
    <n v="3350.26001"/>
    <n v="3235.030029"/>
    <n v="3342.8798830000001"/>
    <n v="4160200"/>
    <n v="100.51977600000009"/>
  </r>
  <r>
    <x v="42"/>
    <n v="3380"/>
    <n v="3427.73999"/>
    <n v="3361.1298830000001"/>
    <n v="3380"/>
    <n v="7098600"/>
    <n v="0"/>
  </r>
  <r>
    <x v="43"/>
    <n v="3425.01001"/>
    <n v="3434"/>
    <n v="3308.6201169999999"/>
    <n v="3312.530029"/>
    <n v="7088800"/>
    <n v="-112.47998099999995"/>
  </r>
  <r>
    <x v="44"/>
    <n v="3330"/>
    <n v="3347"/>
    <n v="3277.75"/>
    <n v="3331"/>
    <n v="3670700"/>
    <n v="1"/>
  </r>
  <r>
    <x v="45"/>
    <n v="3319"/>
    <n v="3377"/>
    <n v="3302.709961"/>
    <n v="3352.1499020000001"/>
    <n v="3620800"/>
    <n v="33.149902000000111"/>
  </r>
  <r>
    <x v="46"/>
    <n v="3358.5"/>
    <n v="3365"/>
    <n v="3304"/>
    <n v="3322.9399410000001"/>
    <n v="3257400"/>
    <n v="-35.56005899999991"/>
  </r>
  <r>
    <x v="47"/>
    <n v="3312.48999"/>
    <n v="3338"/>
    <n v="3297.8400879999999"/>
    <n v="3305"/>
    <n v="2203500"/>
    <n v="-7.4899900000000343"/>
  </r>
  <r>
    <x v="48"/>
    <n v="3314"/>
    <n v="3317.9499510000001"/>
    <n v="3254"/>
    <n v="3286.580078"/>
    <n v="3151600"/>
    <n v="-27.419922000000042"/>
  </r>
  <r>
    <x v="49"/>
    <n v="3292"/>
    <n v="3292"/>
    <n v="3248.0600589999999"/>
    <n v="3262.1298830000001"/>
    <n v="2301400"/>
    <n v="-29.870116999999937"/>
  </r>
  <r>
    <x v="50"/>
    <n v="3250"/>
    <n v="3280.25"/>
    <n v="3233.3100589999999"/>
    <n v="3277.709961"/>
    <n v="2335300"/>
    <n v="27.709961000000021"/>
  </r>
  <r>
    <x v="51"/>
    <n v="3254.0500489999999"/>
    <n v="3308.3000489999999"/>
    <n v="3253.5900879999999"/>
    <n v="3268.9499510000001"/>
    <n v="2574700"/>
    <n v="14.899902000000111"/>
  </r>
  <r>
    <x v="52"/>
    <n v="3263.6000979999999"/>
    <n v="3320.9099120000001"/>
    <n v="3259.5"/>
    <n v="3308.639893"/>
    <n v="3297500"/>
    <n v="45.03979500000014"/>
  </r>
  <r>
    <x v="53"/>
    <n v="3282.419922"/>
    <n v="3338"/>
    <n v="3273.9399410000001"/>
    <n v="3328.2299800000001"/>
    <n v="3027400"/>
    <n v="45.810058000000026"/>
  </r>
  <r>
    <x v="54"/>
    <n v="3328.2299800000001"/>
    <n v="3333.5"/>
    <n v="3245.75"/>
    <n v="3249.8999020000001"/>
    <n v="4305200"/>
    <n v="-78.330077999999958"/>
  </r>
  <r>
    <x v="55"/>
    <n v="3208.1298830000001"/>
    <n v="3232.320068"/>
    <n v="3172.26001"/>
    <n v="3180.73999"/>
    <n v="3515700"/>
    <n v="-27.389893000000029"/>
  </r>
  <r>
    <x v="56"/>
    <n v="3127.030029"/>
    <n v="3204.7299800000001"/>
    <n v="3093.6000979999999"/>
    <n v="3194.5"/>
    <n v="4677200"/>
    <n v="67.469970999999987"/>
  </r>
  <r>
    <x v="57"/>
    <n v="3166.75"/>
    <n v="3171.2299800000001"/>
    <n v="3125.3798830000001"/>
    <n v="3159.530029"/>
    <n v="3011300"/>
    <n v="-7.2199709999999868"/>
  </r>
  <r>
    <x v="58"/>
    <n v="3136.73999"/>
    <n v="3178.26001"/>
    <n v="3047.76001"/>
    <n v="3057.1599120000001"/>
    <n v="4533800"/>
    <n v="-79.580077999999958"/>
  </r>
  <r>
    <x v="59"/>
    <n v="3095.1999510000001"/>
    <n v="3122.4399410000001"/>
    <n v="3036.6999510000001"/>
    <n v="3092.929932"/>
    <n v="4275900"/>
    <n v="-2.2700190000000475"/>
  </r>
  <r>
    <x v="60"/>
    <n v="3127.889893"/>
    <n v="3149.5600589999999"/>
    <n v="3097.98999"/>
    <n v="3146.139893"/>
    <n v="2729100"/>
    <n v="18.25"/>
  </r>
  <r>
    <x v="61"/>
    <n v="3143.469971"/>
    <n v="3163.5200199999999"/>
    <n v="3087.1201169999999"/>
    <n v="3094.530029"/>
    <n v="2595800"/>
    <n v="-48.939941999999974"/>
  </r>
  <r>
    <x v="62"/>
    <n v="3081.179932"/>
    <n v="3107.780029"/>
    <n v="2995"/>
    <n v="3005"/>
    <n v="3988700"/>
    <n v="-76.179932000000008"/>
  </r>
  <r>
    <x v="63"/>
    <n v="3012"/>
    <n v="3058.1298830000001"/>
    <n v="2945.429932"/>
    <n v="2977.570068"/>
    <n v="5481600"/>
    <n v="-34.429932000000008"/>
  </r>
  <r>
    <x v="64"/>
    <n v="3005"/>
    <n v="3009"/>
    <n v="2881"/>
    <n v="3000.459961"/>
    <n v="5388600"/>
    <n v="-4.5400389999999788"/>
  </r>
  <r>
    <x v="65"/>
    <n v="3015"/>
    <n v="3064.5900879999999"/>
    <n v="2951.3100589999999"/>
    <n v="2951.9499510000001"/>
    <n v="4185000"/>
    <n v="-63.050048999999944"/>
  </r>
  <r>
    <x v="66"/>
    <n v="3017.98999"/>
    <n v="3090.959961"/>
    <n v="3005.1499020000001"/>
    <n v="3062.8500979999999"/>
    <n v="4030000"/>
    <n v="44.860107999999855"/>
  </r>
  <r>
    <x v="67"/>
    <n v="3098.4499510000001"/>
    <n v="3116.459961"/>
    <n v="3030.0500489999999"/>
    <n v="3057.639893"/>
    <n v="3012500"/>
    <n v="-40.810058000000026"/>
  </r>
  <r>
    <x v="68"/>
    <n v="3104.01001"/>
    <n v="3131.780029"/>
    <n v="3082.929932"/>
    <n v="3113.5900879999999"/>
    <n v="2776400"/>
    <n v="9.5800779999999577"/>
  </r>
  <r>
    <x v="69"/>
    <n v="3075"/>
    <n v="3098.9799800000001"/>
    <n v="3045.5"/>
    <n v="3089.48999"/>
    <n v="2421900"/>
    <n v="14.489990000000034"/>
  </r>
  <r>
    <x v="70"/>
    <n v="3074.570068"/>
    <n v="3082.23999"/>
    <n v="3032.0900879999999"/>
    <n v="3081.679932"/>
    <n v="2913600"/>
    <n v="7.1098640000000159"/>
  </r>
  <r>
    <x v="71"/>
    <n v="3104.969971"/>
    <n v="3128.9099120000001"/>
    <n v="3075.860107"/>
    <n v="3091.860107"/>
    <n v="2538800"/>
    <n v="-13.109864000000016"/>
  </r>
  <r>
    <x v="72"/>
    <n v="3073.219971"/>
    <n v="3173.0500489999999"/>
    <n v="3070.219971"/>
    <n v="3135.7299800000001"/>
    <n v="3118600"/>
    <n v="62.510009000000082"/>
  </r>
  <r>
    <x v="73"/>
    <n v="3101"/>
    <n v="3116.6298830000001"/>
    <n v="3025"/>
    <n v="3027.98999"/>
    <n v="3649600"/>
    <n v="-73.010009999999966"/>
  </r>
  <r>
    <x v="74"/>
    <n v="3029.2299800000001"/>
    <n v="3077.290039"/>
    <n v="3016.6298830000001"/>
    <n v="3074.959961"/>
    <n v="4625400"/>
    <n v="45.729980999999952"/>
  </r>
  <r>
    <x v="75"/>
    <n v="3067.8500979999999"/>
    <n v="3126.580078"/>
    <n v="3060.0500489999999"/>
    <n v="3110.8701169999999"/>
    <n v="2902200"/>
    <n v="43.020019000000048"/>
  </r>
  <r>
    <x v="76"/>
    <n v="3127"/>
    <n v="3182"/>
    <n v="3120.8500979999999"/>
    <n v="3137.5"/>
    <n v="3817300"/>
    <n v="10.5"/>
  </r>
  <r>
    <x v="77"/>
    <n v="3151.040039"/>
    <n v="3160.3100589999999"/>
    <n v="3085.1499020000001"/>
    <n v="3087.070068"/>
    <n v="2959000"/>
    <n v="-63.969970999999987"/>
  </r>
  <r>
    <x v="78"/>
    <n v="3072.98999"/>
    <n v="3109.780029"/>
    <n v="3037.139893"/>
    <n v="3046.26001"/>
    <n v="3563500"/>
    <n v="-26.729980000000069"/>
  </r>
  <r>
    <x v="79"/>
    <n v="3044.0600589999999"/>
    <n v="3056.6599120000001"/>
    <n v="2996"/>
    <n v="3052.030029"/>
    <n v="3312900"/>
    <n v="7.969970000000103"/>
  </r>
  <r>
    <x v="80"/>
    <n v="3055.4399410000001"/>
    <n v="3091.25"/>
    <n v="3028.4499510000001"/>
    <n v="3075.7299800000001"/>
    <n v="2746000"/>
    <n v="20.290038999999979"/>
  </r>
  <r>
    <x v="81"/>
    <n v="3070.01001"/>
    <n v="3073"/>
    <n v="3034"/>
    <n v="3055.290039"/>
    <n v="2337600"/>
    <n v="-14.719970999999987"/>
  </r>
  <r>
    <x v="82"/>
    <n v="3064.0600589999999"/>
    <n v="3119.330078"/>
    <n v="3062.5"/>
    <n v="3094.080078"/>
    <n v="3093900"/>
    <n v="30.020019000000048"/>
  </r>
  <r>
    <x v="83"/>
    <n v="3117.9399410000001"/>
    <n v="3162.4399410000001"/>
    <n v="3115.5500489999999"/>
    <n v="3161"/>
    <n v="2940300"/>
    <n v="43.06005899999991"/>
  </r>
  <r>
    <x v="84"/>
    <n v="3173"/>
    <n v="3235.959961"/>
    <n v="3161.23999"/>
    <n v="3226.7299800000001"/>
    <n v="3334900"/>
    <n v="53.729980000000069"/>
  </r>
  <r>
    <x v="85"/>
    <n v="3223.75"/>
    <n v="3247.3100589999999"/>
    <n v="3217.040039"/>
    <n v="3223.820068"/>
    <n v="2537800"/>
    <n v="7.0067999999992026E-2"/>
  </r>
  <r>
    <x v="86"/>
    <n v="3233.8000489999999"/>
    <n v="3303.610107"/>
    <n v="3223.6499020000001"/>
    <n v="3279.389893"/>
    <n v="3346200"/>
    <n v="45.589844000000085"/>
  </r>
  <r>
    <x v="87"/>
    <n v="3310.8999020000001"/>
    <n v="3324.5"/>
    <n v="3292"/>
    <n v="3299.3000489999999"/>
    <n v="2812100"/>
    <n v="-11.599853000000167"/>
  </r>
  <r>
    <x v="88"/>
    <n v="3304.6999510000001"/>
    <n v="3372.1999510000001"/>
    <n v="3288.8999020000001"/>
    <n v="3372.1999510000001"/>
    <n v="4341500"/>
    <n v="67.5"/>
  </r>
  <r>
    <x v="89"/>
    <n v="3355.209961"/>
    <n v="3395.040039"/>
    <n v="3351.1499020000001"/>
    <n v="3379.389893"/>
    <n v="3281800"/>
    <n v="24.179932000000008"/>
  </r>
  <r>
    <x v="90"/>
    <n v="3400.8500979999999"/>
    <n v="3432"/>
    <n v="3395.6298830000001"/>
    <n v="3400"/>
    <n v="3315800"/>
    <n v="-0.850097999999889"/>
  </r>
  <r>
    <x v="91"/>
    <n v="3404.040039"/>
    <n v="3404.1298830000001"/>
    <n v="3326"/>
    <n v="3333"/>
    <n v="3145200"/>
    <n v="-71.040038999999979"/>
  </r>
  <r>
    <x v="92"/>
    <n v="3371"/>
    <n v="3397"/>
    <n v="3352"/>
    <n v="3379.0900879999999"/>
    <n v="3233600"/>
    <n v="8.0900879999999233"/>
  </r>
  <r>
    <x v="93"/>
    <n v="3380"/>
    <n v="3406.8000489999999"/>
    <n v="3355.5900879999999"/>
    <n v="3399.4399410000001"/>
    <n v="3186000"/>
    <n v="19.43994100000009"/>
  </r>
  <r>
    <x v="94"/>
    <n v="3390.330078"/>
    <n v="3435.929932"/>
    <n v="3360.1599120000001"/>
    <n v="3372.01001"/>
    <n v="2725400"/>
    <n v="-18.320067999999992"/>
  </r>
  <r>
    <x v="95"/>
    <n v="3373.6000979999999"/>
    <n v="3382.98999"/>
    <n v="3316"/>
    <n v="3334.6899410000001"/>
    <n v="2623000"/>
    <n v="-38.910156999999799"/>
  </r>
  <r>
    <x v="96"/>
    <n v="3316"/>
    <n v="3362.860107"/>
    <n v="3303.8100589999999"/>
    <n v="3362.0200199999999"/>
    <n v="2211200"/>
    <n v="46.020019999999931"/>
  </r>
  <r>
    <x v="97"/>
    <n v="3371.679932"/>
    <n v="3372.8701169999999"/>
    <n v="3301.4499510000001"/>
    <n v="3309.040039"/>
    <n v="2580600"/>
    <n v="-62.639893000000029"/>
  </r>
  <r>
    <x v="98"/>
    <n v="3319.1000979999999"/>
    <n v="3375"/>
    <n v="3308.5"/>
    <n v="3340.8798830000001"/>
    <n v="3192800"/>
    <n v="21.779785000000174"/>
  </r>
  <r>
    <x v="99"/>
    <n v="3348"/>
    <n v="3428.4499510000001"/>
    <n v="3330.9399410000001"/>
    <n v="3409"/>
    <n v="4880700"/>
    <n v="61"/>
  </r>
  <r>
    <x v="100"/>
    <n v="3443.469971"/>
    <n v="3460"/>
    <n v="3398.01001"/>
    <n v="3417.429932"/>
    <n v="3827100"/>
    <n v="-26.040038999999979"/>
  </r>
  <r>
    <x v="101"/>
    <n v="3434.8000489999999"/>
    <n v="3489.8798830000001"/>
    <n v="3425"/>
    <n v="3458.5"/>
    <n v="4631900"/>
    <n v="23.699951000000056"/>
  </r>
  <r>
    <x v="102"/>
    <n v="3505.1000979999999"/>
    <n v="3514.4499510000001"/>
    <n v="3435"/>
    <n v="3471.3100589999999"/>
    <n v="7682400"/>
    <n v="-33.790038999999979"/>
  </r>
  <r>
    <x v="103"/>
    <n v="3525.1201169999999"/>
    <n v="3554"/>
    <n v="3462.5"/>
    <n v="3467.419922"/>
    <n v="7009300"/>
    <n v="-57.700194999999894"/>
  </r>
  <r>
    <x v="104"/>
    <n v="3484.7299800000001"/>
    <n v="3486.6499020000001"/>
    <n v="3372.6999510000001"/>
    <n v="3386.48999"/>
    <n v="5875500"/>
    <n v="-98.239990000000034"/>
  </r>
  <r>
    <x v="105"/>
    <n v="3356.1899410000001"/>
    <n v="3367.9799800000001"/>
    <n v="3272.1298830000001"/>
    <n v="3311.8701169999999"/>
    <n v="5439400"/>
    <n v="-44.319824000000153"/>
  </r>
  <r>
    <x v="106"/>
    <n v="3338.860107"/>
    <n v="3354.6999510000001"/>
    <n v="3264.360107"/>
    <n v="3270.540039"/>
    <n v="3711300"/>
    <n v="-68.320067999999992"/>
  </r>
  <r>
    <x v="107"/>
    <n v="3270"/>
    <n v="3314.3999020000001"/>
    <n v="3247.1999510000001"/>
    <n v="3306.3701169999999"/>
    <n v="4447700"/>
    <n v="36.370116999999937"/>
  </r>
  <r>
    <x v="108"/>
    <n v="3319.0900879999999"/>
    <n v="3330.889893"/>
    <n v="3289.070068"/>
    <n v="3291.610107"/>
    <n v="4710300"/>
    <n v="-27.479980999999952"/>
  </r>
  <r>
    <x v="109"/>
    <n v="3282.320068"/>
    <n v="3283"/>
    <n v="3190"/>
    <n v="3190.48999"/>
    <n v="5838600"/>
    <n v="-91.830077999999958"/>
  </r>
  <r>
    <x v="110"/>
    <n v="3136.280029"/>
    <n v="3238"/>
    <n v="3127.3701169999999"/>
    <n v="3223.9099120000001"/>
    <n v="4619800"/>
    <n v="87.629883000000063"/>
  </r>
  <r>
    <x v="111"/>
    <n v="3185"/>
    <n v="3207.9399410000001"/>
    <n v="3133.1000979999999"/>
    <n v="3151.9399410000001"/>
    <n v="4936400"/>
    <n v="-33.06005899999991"/>
  </r>
  <r>
    <x v="112"/>
    <n v="3185.469971"/>
    <n v="3203.8400879999999"/>
    <n v="3133"/>
    <n v="3161.469971"/>
    <n v="3350900"/>
    <n v="-24"/>
  </r>
  <r>
    <x v="113"/>
    <n v="3185.5600589999999"/>
    <n v="3228.860107"/>
    <n v="3183"/>
    <n v="3222.8999020000001"/>
    <n v="3325000"/>
    <n v="37.339843000000201"/>
  </r>
  <r>
    <x v="114"/>
    <n v="3245.929932"/>
    <n v="3292.75"/>
    <n v="3234.5900879999999"/>
    <n v="3270.389893"/>
    <n v="3723900"/>
    <n v="24.459961000000021"/>
  </r>
  <r>
    <x v="115"/>
    <n v="3292.580078"/>
    <n v="3312"/>
    <n v="3230.3701169999999"/>
    <n v="3232.280029"/>
    <n v="2828400"/>
    <n v="-60.300048999999944"/>
  </r>
  <r>
    <x v="116"/>
    <n v="3195"/>
    <n v="3234.75"/>
    <n v="3184"/>
    <n v="3231.8000489999999"/>
    <n v="2679700"/>
    <n v="36.800048999999944"/>
  </r>
  <r>
    <x v="117"/>
    <n v="3244.3999020000001"/>
    <n v="3259.679932"/>
    <n v="3236.179932"/>
    <n v="3247.679932"/>
    <n v="2633200"/>
    <n v="3.280029999999897"/>
  </r>
  <r>
    <x v="118"/>
    <n v="3250"/>
    <n v="3256.6899410000001"/>
    <n v="3197.01001"/>
    <n v="3203.080078"/>
    <n v="4104900"/>
    <n v="-46.919922000000042"/>
  </r>
  <r>
    <x v="119"/>
    <n v="3215.5"/>
    <n v="3257.9499510000001"/>
    <n v="3210.5"/>
    <n v="3244.98999"/>
    <n v="2422800"/>
    <n v="29.489990000000034"/>
  </r>
  <r>
    <x v="120"/>
    <n v="3266.669922"/>
    <n v="3279.820068"/>
    <n v="3213.76001"/>
    <n v="3259.0500489999999"/>
    <n v="3261100"/>
    <n v="-7.6198730000000978"/>
  </r>
  <r>
    <x v="121"/>
    <n v="3274.5900879999999"/>
    <n v="3295.7299800000001"/>
    <n v="3258.51001"/>
    <n v="3265.1599120000001"/>
    <n v="2384000"/>
    <n v="-9.4301759999998467"/>
  </r>
  <r>
    <x v="122"/>
    <n v="3256"/>
    <n v="3260.360107"/>
    <n v="3230.040039"/>
    <n v="3230.110107"/>
    <n v="2561200"/>
    <n v="-25.889893000000029"/>
  </r>
  <r>
    <x v="123"/>
    <n v="3242"/>
    <n v="3247.98999"/>
    <n v="3219.6999510000001"/>
    <n v="3223.070068"/>
    <n v="2329800"/>
    <n v="-18.929932000000008"/>
  </r>
  <r>
    <x v="124"/>
    <n v="3243.5"/>
    <n v="3250.9799800000001"/>
    <n v="3209.0600589999999"/>
    <n v="3218.6499020000001"/>
    <n v="2430000"/>
    <n v="-24.850097999999889"/>
  </r>
  <r>
    <x v="125"/>
    <n v="3223.1000979999999"/>
    <n v="3235"/>
    <n v="3208"/>
    <n v="3233.98999"/>
    <n v="2014500"/>
    <n v="10.889892000000145"/>
  </r>
  <r>
    <x v="126"/>
    <n v="3204.2299800000001"/>
    <n v="3214.4399410000001"/>
    <n v="3184.030029"/>
    <n v="3187.01001"/>
    <n v="2398300"/>
    <n v="-17.219970000000103"/>
  </r>
  <r>
    <x v="127"/>
    <n v="3212"/>
    <n v="3221"/>
    <n v="3198.8100589999999"/>
    <n v="3206.219971"/>
    <n v="2249700"/>
    <n v="-5.7800290000000132"/>
  </r>
  <r>
    <x v="128"/>
    <n v="3197.330078"/>
    <n v="3208"/>
    <n v="3172.1999510000001"/>
    <n v="3198.01001"/>
    <n v="2215800"/>
    <n v="0.67993200000000797"/>
  </r>
  <r>
    <x v="129"/>
    <n v="3222.610107"/>
    <n v="3279.530029"/>
    <n v="3218.01001"/>
    <n v="3264.110107"/>
    <n v="3416700"/>
    <n v="41.5"/>
  </r>
  <r>
    <x v="130"/>
    <n v="3272.8701169999999"/>
    <n v="3297.580078"/>
    <n v="3270.6999510000001"/>
    <n v="3281.1499020000001"/>
    <n v="2455500"/>
    <n v="8.2797850000001745"/>
  </r>
  <r>
    <x v="131"/>
    <n v="3282.01001"/>
    <n v="3351"/>
    <n v="3281.1499020000001"/>
    <n v="3349.6499020000001"/>
    <n v="3476500"/>
    <n v="67.639892000000145"/>
  </r>
  <r>
    <x v="132"/>
    <n v="3349.6499020000001"/>
    <n v="3366.580078"/>
    <n v="3333.4499510000001"/>
    <n v="3346.830078"/>
    <n v="2817400"/>
    <n v="-2.8198240000001533"/>
  </r>
  <r>
    <x v="133"/>
    <n v="3346.830078"/>
    <n v="3385"/>
    <n v="3335.5"/>
    <n v="3383.8701169999999"/>
    <n v="2569700"/>
    <n v="37.040038999999979"/>
  </r>
  <r>
    <x v="134"/>
    <n v="3384"/>
    <n v="3396.98999"/>
    <n v="3363.110107"/>
    <n v="3383.1298830000001"/>
    <n v="2426200"/>
    <n v="-0.87011699999993652"/>
  </r>
  <r>
    <x v="135"/>
    <n v="3392"/>
    <n v="3426.3500979999999"/>
    <n v="3360.530029"/>
    <n v="3415.25"/>
    <n v="4202800"/>
    <n v="23.25"/>
  </r>
  <r>
    <x v="136"/>
    <n v="3403.179932"/>
    <n v="3497.1999510000001"/>
    <n v="3401"/>
    <n v="3489.23999"/>
    <n v="5136500"/>
    <n v="86.060058000000026"/>
  </r>
  <r>
    <x v="137"/>
    <n v="3479.98999"/>
    <n v="3507"/>
    <n v="3473.709961"/>
    <n v="3486.8999020000001"/>
    <n v="5247700"/>
    <n v="6.9099120000000767"/>
  </r>
  <r>
    <x v="138"/>
    <n v="3476.419922"/>
    <n v="3482"/>
    <n v="3434"/>
    <n v="3453.959961"/>
    <n v="3277100"/>
    <n v="-22.459961000000021"/>
  </r>
  <r>
    <x v="139"/>
    <n v="3458.0600589999999"/>
    <n v="3523.780029"/>
    <n v="3456.0900879999999"/>
    <n v="3505.4399410000001"/>
    <n v="3345100"/>
    <n v="47.37988200000018"/>
  </r>
  <r>
    <x v="140"/>
    <n v="3505"/>
    <n v="3521"/>
    <n v="3483.1999510000001"/>
    <n v="3503.820068"/>
    <n v="2813300"/>
    <n v="-1.179932000000008"/>
  </r>
  <r>
    <x v="141"/>
    <n v="3507.639893"/>
    <n v="3524.860107"/>
    <n v="3430.8500979999999"/>
    <n v="3449.080078"/>
    <n v="3832000"/>
    <n v="-58.559815000000071"/>
  </r>
  <r>
    <x v="142"/>
    <n v="3464"/>
    <n v="3464.820068"/>
    <n v="3394.179932"/>
    <n v="3401.459961"/>
    <n v="3941000"/>
    <n v="-62.540038999999979"/>
  </r>
  <r>
    <x v="143"/>
    <n v="3416"/>
    <n v="3448"/>
    <n v="3413.51001"/>
    <n v="3443.889893"/>
    <n v="2242800"/>
    <n v="27.889893000000029"/>
  </r>
  <r>
    <x v="144"/>
    <n v="3438.820068"/>
    <n v="3456.030029"/>
    <n v="3423.030029"/>
    <n v="3448.139893"/>
    <n v="2098400"/>
    <n v="9.3198250000000371"/>
  </r>
  <r>
    <x v="145"/>
    <n v="3441.0600589999999"/>
    <n v="3471.6000979999999"/>
    <n v="3435"/>
    <n v="3440.1599120000001"/>
    <n v="2404000"/>
    <n v="-0.9001469999998335"/>
  </r>
  <r>
    <x v="146"/>
    <n v="3434.610107"/>
    <n v="3457"/>
    <n v="3409.419922"/>
    <n v="3432.969971"/>
    <n v="2037100"/>
    <n v="-1.6401359999999841"/>
  </r>
  <r>
    <x v="147"/>
    <n v="3451.639893"/>
    <n v="3511.719971"/>
    <n v="3436.919922"/>
    <n v="3510.9799800000001"/>
    <n v="3169400"/>
    <n v="59.34008700000004"/>
  </r>
  <r>
    <x v="148"/>
    <n v="3530.110107"/>
    <n v="3685.4799800000001"/>
    <n v="3529"/>
    <n v="3675.73999"/>
    <n v="6744800"/>
    <n v="145.62988300000006"/>
  </r>
  <r>
    <x v="149"/>
    <n v="3717.3798830000001"/>
    <n v="3734.1999510000001"/>
    <n v="3678.9099120000001"/>
    <n v="3696.580078"/>
    <n v="5328100"/>
    <n v="-20.799805000000106"/>
  </r>
  <r>
    <x v="150"/>
    <n v="3643.5600589999999"/>
    <n v="3759.98999"/>
    <n v="3621.1201169999999"/>
    <n v="3731.4099120000001"/>
    <n v="5180600"/>
    <n v="87.849853000000167"/>
  </r>
  <r>
    <x v="151"/>
    <n v="3722.5200199999999"/>
    <n v="3748"/>
    <n v="3693.3999020000001"/>
    <n v="3719.3400879999999"/>
    <n v="3748200"/>
    <n v="-3.179932000000008"/>
  </r>
  <r>
    <x v="152"/>
    <n v="3744"/>
    <n v="3757.290039"/>
    <n v="3696.790039"/>
    <n v="3718.5500489999999"/>
    <n v="2571600"/>
    <n v="-25.449951000000056"/>
  </r>
  <r>
    <x v="153"/>
    <n v="3702.1000979999999"/>
    <n v="3773.080078"/>
    <n v="3671.320068"/>
    <n v="3677.360107"/>
    <n v="3845900"/>
    <n v="-24.739990999999918"/>
  </r>
  <r>
    <x v="154"/>
    <n v="3708.8500979999999"/>
    <n v="3717.6599120000001"/>
    <n v="3660.830078"/>
    <n v="3681.679932"/>
    <n v="3296600"/>
    <n v="-27.170165999999881"/>
  </r>
  <r>
    <x v="155"/>
    <n v="3694.1999510000001"/>
    <n v="3695.3999020000001"/>
    <n v="3620.919922"/>
    <n v="3631.1999510000001"/>
    <n v="3185300"/>
    <n v="-63"/>
  </r>
  <r>
    <x v="156"/>
    <n v="3633.3100589999999"/>
    <n v="3646.0600589999999"/>
    <n v="3570.459961"/>
    <n v="3573.6298830000001"/>
    <n v="4043700"/>
    <n v="-59.680175999999847"/>
  </r>
  <r>
    <x v="157"/>
    <n v="3532.580078"/>
    <n v="3550.209961"/>
    <n v="3499.1599120000001"/>
    <n v="3549.5900879999999"/>
    <n v="3784600"/>
    <n v="17.010009999999966"/>
  </r>
  <r>
    <x v="158"/>
    <n v="3567.320068"/>
    <n v="3592"/>
    <n v="3518"/>
    <n v="3573.1899410000001"/>
    <n v="3255700"/>
    <n v="5.8698730000000978"/>
  </r>
  <r>
    <x v="159"/>
    <n v="3576.3798830000001"/>
    <n v="3586.4499510000001"/>
    <n v="3543.639893"/>
    <n v="3585.1999510000001"/>
    <n v="2319000"/>
    <n v="8.820067999999992"/>
  </r>
  <r>
    <x v="160"/>
    <n v="3587.2299800000001"/>
    <n v="3640.0200199999999"/>
    <n v="3582.2700199999999"/>
    <n v="3638.030029"/>
    <n v="3265400"/>
    <n v="50.800048999999944"/>
  </r>
  <r>
    <x v="161"/>
    <n v="3640"/>
    <n v="3666.110107"/>
    <n v="3622.040039"/>
    <n v="3656.639893"/>
    <n v="2436300"/>
    <n v="16.639893000000029"/>
  </r>
  <r>
    <x v="162"/>
    <n v="3673.169922"/>
    <n v="3712.080078"/>
    <n v="3647.25"/>
    <n v="3699.820068"/>
    <n v="2900100"/>
    <n v="26.65014599999995"/>
  </r>
  <r>
    <x v="163"/>
    <n v="3698.5"/>
    <n v="3698.5"/>
    <n v="3586.1499020000001"/>
    <n v="3626.389893"/>
    <n v="4131900"/>
    <n v="-72.110106999999971"/>
  </r>
  <r>
    <x v="164"/>
    <n v="3633.780029"/>
    <n v="3658.419922"/>
    <n v="3601"/>
    <n v="3630.320068"/>
    <n v="2999400"/>
    <n v="-3.4599610000000212"/>
  </r>
  <r>
    <x v="165"/>
    <n v="3627.75"/>
    <n v="3637.9499510000001"/>
    <n v="3580.01001"/>
    <n v="3599.919922"/>
    <n v="5520000"/>
    <n v="-27.830077999999958"/>
  </r>
  <r>
    <x v="166"/>
    <n v="3347.9499510000001"/>
    <n v="3368.139893"/>
    <n v="3306.9799800000001"/>
    <n v="3327.5900879999999"/>
    <n v="9957100"/>
    <n v="-20.359863000000132"/>
  </r>
  <r>
    <x v="167"/>
    <n v="3353.1000979999999"/>
    <n v="3358.919922"/>
    <n v="3317"/>
    <n v="3331.4799800000001"/>
    <n v="3353900"/>
    <n v="-21.62011799999982"/>
  </r>
  <r>
    <x v="168"/>
    <n v="3340.719971"/>
    <n v="3391"/>
    <n v="3299.7700199999999"/>
    <n v="3366.23999"/>
    <n v="4157300"/>
    <n v="25.520019000000048"/>
  </r>
  <r>
    <x v="169"/>
    <n v="3379.3500979999999"/>
    <n v="3388.8798830000001"/>
    <n v="3345.5600589999999"/>
    <n v="3354.719971"/>
    <n v="2183900"/>
    <n v="-24.630126999999902"/>
  </r>
  <r>
    <x v="170"/>
    <n v="3356.219971"/>
    <n v="3389"/>
    <n v="3340.919922"/>
    <n v="3375.98999"/>
    <n v="2433500"/>
    <n v="19.770019000000048"/>
  </r>
  <r>
    <x v="171"/>
    <n v="3375"/>
    <n v="3375"/>
    <n v="3329.040039"/>
    <n v="3344.9399410000001"/>
    <n v="2635300"/>
    <n v="-30.06005899999991"/>
  </r>
  <r>
    <x v="172"/>
    <n v="3343.610107"/>
    <n v="3354.8798830000001"/>
    <n v="3328.5200199999999"/>
    <n v="3341.8701169999999"/>
    <n v="2148200"/>
    <n v="-1.7399900000000343"/>
  </r>
  <r>
    <x v="173"/>
    <n v="3345.01001"/>
    <n v="3358"/>
    <n v="3315"/>
    <n v="3320.679932"/>
    <n v="2412600"/>
    <n v="-24.330077999999958"/>
  </r>
  <r>
    <x v="174"/>
    <n v="3331.4499510000001"/>
    <n v="3337.6999510000001"/>
    <n v="3277.790039"/>
    <n v="3292.110107"/>
    <n v="2947200"/>
    <n v="-39.339844000000085"/>
  </r>
  <r>
    <x v="175"/>
    <n v="3290"/>
    <n v="3314.51001"/>
    <n v="3269.669922"/>
    <n v="3303.5"/>
    <n v="2314100"/>
    <n v="13.5"/>
  </r>
  <r>
    <x v="176"/>
    <n v="3305.669922"/>
    <n v="3306.070068"/>
    <n v="3283"/>
    <n v="3293.969971"/>
    <n v="2052800"/>
    <n v="-11.699951000000056"/>
  </r>
  <r>
    <x v="177"/>
    <n v="3283"/>
    <n v="3300"/>
    <n v="3211.1298830000001"/>
    <n v="3298.98999"/>
    <n v="3319700"/>
    <n v="15.989990000000034"/>
  </r>
  <r>
    <x v="178"/>
    <n v="3277.5"/>
    <n v="3280.48999"/>
    <n v="3225.679932"/>
    <n v="3241.959961"/>
    <n v="3387900"/>
    <n v="-35.540038999999979"/>
  </r>
  <r>
    <x v="179"/>
    <n v="3241.98999"/>
    <n v="3254.1000979999999"/>
    <n v="3200"/>
    <n v="3201.219971"/>
    <n v="2804300"/>
    <n v="-40.770019000000048"/>
  </r>
  <r>
    <x v="180"/>
    <n v="3194.0200199999999"/>
    <n v="3233"/>
    <n v="3182.459961"/>
    <n v="3187.75"/>
    <n v="3782900"/>
    <n v="-6.2700199999999313"/>
  </r>
  <r>
    <x v="181"/>
    <n v="3203.8701169999999"/>
    <n v="3207.8100589999999"/>
    <n v="3175.76001"/>
    <n v="3199.9499510000001"/>
    <n v="3341200"/>
    <n v="-3.920165999999881"/>
  </r>
  <r>
    <x v="182"/>
    <n v="3211.8999020000001"/>
    <n v="3280.8999020000001"/>
    <n v="3210.01001"/>
    <n v="3265.8701169999999"/>
    <n v="3268100"/>
    <n v="53.970214999999826"/>
  </r>
  <r>
    <x v="183"/>
    <n v="3280"/>
    <n v="3315.48999"/>
    <n v="3274.580078"/>
    <n v="3305.780029"/>
    <n v="2551800"/>
    <n v="25.780029000000013"/>
  </r>
  <r>
    <x v="184"/>
    <n v="3309.8701169999999"/>
    <n v="3321"/>
    <n v="3286.1499020000001"/>
    <n v="3299.179932"/>
    <n v="1680300"/>
    <n v="-10.690184999999929"/>
  </r>
  <r>
    <x v="185"/>
    <n v="3299"/>
    <n v="3332"/>
    <n v="3296"/>
    <n v="3316"/>
    <n v="2098800"/>
    <n v="17"/>
  </r>
  <r>
    <x v="186"/>
    <n v="3333.2299800000001"/>
    <n v="3352.320068"/>
    <n v="3313.75"/>
    <n v="3349.6298830000001"/>
    <n v="2391300"/>
    <n v="16.399902999999995"/>
  </r>
  <r>
    <x v="187"/>
    <n v="3357.429932"/>
    <n v="3445"/>
    <n v="3355.219971"/>
    <n v="3421.570068"/>
    <n v="3192200"/>
    <n v="64.140135999999984"/>
  </r>
  <r>
    <x v="188"/>
    <n v="3424.8000489999999"/>
    <n v="3472.580078"/>
    <n v="3395.5900879999999"/>
    <n v="3470.790039"/>
    <n v="4356400"/>
    <n v="45.989990000000034"/>
  </r>
  <r>
    <x v="189"/>
    <n v="3496.3999020000001"/>
    <n v="3527"/>
    <n v="3475.23999"/>
    <n v="3479"/>
    <n v="3629900"/>
    <n v="-17.399902000000111"/>
  </r>
  <r>
    <x v="190"/>
    <n v="3494.76001"/>
    <n v="3511.959961"/>
    <n v="3455"/>
    <n v="3463.1201169999999"/>
    <n v="2923700"/>
    <n v="-31.639893000000029"/>
  </r>
  <r>
    <x v="191"/>
    <n v="3452"/>
    <n v="3482.669922"/>
    <n v="3436.4399410000001"/>
    <n v="3478.0500489999999"/>
    <n v="2575700"/>
    <n v="26.050048999999944"/>
  </r>
  <r>
    <x v="192"/>
    <n v="3478"/>
    <n v="3528.0900879999999"/>
    <n v="3476.9399410000001"/>
    <n v="3509.290039"/>
    <n v="2737900"/>
    <n v="31.290038999999979"/>
  </r>
  <r>
    <x v="193"/>
    <n v="3511.6499020000001"/>
    <n v="3545.6298830000001"/>
    <n v="3495.669922"/>
    <n v="3525.5"/>
    <n v="3053400"/>
    <n v="13.850097999999889"/>
  </r>
  <r>
    <x v="194"/>
    <n v="3526.0200199999999"/>
    <n v="3549.98999"/>
    <n v="3480.3701169999999"/>
    <n v="3484.1599120000001"/>
    <n v="2719200"/>
    <n v="-41.860107999999855"/>
  </r>
  <r>
    <x v="195"/>
    <n v="3501.830078"/>
    <n v="3508.4499510000001"/>
    <n v="3462.9099120000001"/>
    <n v="3469.1499020000001"/>
    <n v="2393300"/>
    <n v="-32.680175999999847"/>
  </r>
  <r>
    <x v="196"/>
    <n v="3482.8000489999999"/>
    <n v="3497.959961"/>
    <n v="3438"/>
    <n v="3457.169922"/>
    <n v="2569000"/>
    <n v="-25.630126999999902"/>
  </r>
  <r>
    <x v="197"/>
    <n v="3475.5500489999999"/>
    <n v="3486.8100589999999"/>
    <n v="3437.709961"/>
    <n v="3450"/>
    <n v="1936900"/>
    <n v="-25.550048999999944"/>
  </r>
  <r>
    <x v="198"/>
    <n v="3442.5200199999999"/>
    <n v="3485.419922"/>
    <n v="3402.01001"/>
    <n v="3475.790039"/>
    <n v="2957500"/>
    <n v="33.270019000000048"/>
  </r>
  <r>
    <x v="199"/>
    <n v="3459.959961"/>
    <n v="3492.5500489999999"/>
    <n v="3446.139893"/>
    <n v="3488.23999"/>
    <n v="2583600"/>
    <n v="28.280029000000013"/>
  </r>
  <r>
    <x v="200"/>
    <n v="3488.4099120000001"/>
    <n v="3497.4099120000001"/>
    <n v="3452.1298830000001"/>
    <n v="3462.5200199999999"/>
    <n v="4616600"/>
    <n v="-25.889892000000145"/>
  </r>
  <r>
    <x v="201"/>
    <n v="3396"/>
    <n v="3419"/>
    <n v="3305.01001"/>
    <n v="3355.7299800000001"/>
    <n v="4669100"/>
    <n v="-40.270019999999931"/>
  </r>
  <r>
    <x v="202"/>
    <n v="3375"/>
    <n v="3379.6999510000001"/>
    <n v="3332.389893"/>
    <n v="3343.6298830000001"/>
    <n v="2780900"/>
    <n v="-31.370116999999937"/>
  </r>
  <r>
    <x v="203"/>
    <n v="3351"/>
    <n v="3389"/>
    <n v="3341.0500489999999"/>
    <n v="3380.0500489999999"/>
    <n v="2411400"/>
    <n v="29.050048999999944"/>
  </r>
  <r>
    <x v="204"/>
    <n v="3380.0500489999999"/>
    <n v="3428.959961"/>
    <n v="3380.0500489999999"/>
    <n v="3416"/>
    <n v="2379400"/>
    <n v="35.949951000000056"/>
  </r>
  <r>
    <x v="205"/>
    <n v="3402.01001"/>
    <n v="3429.26001"/>
    <n v="3393.3999020000001"/>
    <n v="3425.5200199999999"/>
    <n v="2116200"/>
    <n v="23.510009999999966"/>
  </r>
  <r>
    <x v="206"/>
    <n v="3371.5"/>
    <n v="3415.570068"/>
    <n v="3339.610107"/>
    <n v="3405.8000489999999"/>
    <n v="3634500"/>
    <n v="34.300048999999944"/>
  </r>
  <r>
    <x v="207"/>
    <n v="3357.709961"/>
    <n v="3369.1899410000001"/>
    <n v="3290.1000979999999"/>
    <n v="3315.959961"/>
    <n v="4430800"/>
    <n v="-41.75"/>
  </r>
  <r>
    <x v="208"/>
    <n v="3322.110107"/>
    <n v="3351.3000489999999"/>
    <n v="3297.8701169999999"/>
    <n v="3301.1201169999999"/>
    <n v="2562300"/>
    <n v="-20.989990000000034"/>
  </r>
  <r>
    <x v="209"/>
    <n v="3316"/>
    <n v="3327.8500979999999"/>
    <n v="3273.98999"/>
    <n v="3285.040039"/>
    <n v="2842400"/>
    <n v="-30.959961000000021"/>
  </r>
  <r>
    <x v="210"/>
    <n v="3289.01001"/>
    <n v="3309.169922"/>
    <n v="3255.9399410000001"/>
    <n v="3283.26001"/>
    <n v="2835600"/>
    <n v="-5.75"/>
  </r>
  <r>
    <x v="211"/>
    <n v="3279.389893"/>
    <n v="3279.98999"/>
    <n v="3176.25"/>
    <n v="3189.780029"/>
    <n v="4523100"/>
    <n v="-89.609864000000016"/>
  </r>
  <r>
    <x v="212"/>
    <n v="3204.5"/>
    <n v="3260.7299800000001"/>
    <n v="3202.459961"/>
    <n v="3221"/>
    <n v="3269200"/>
    <n v="16.5"/>
  </r>
  <r>
    <x v="213"/>
    <n v="3213.530029"/>
    <n v="3264.3400879999999"/>
    <n v="3198.6201169999999"/>
    <n v="3262.01001"/>
    <n v="2533000"/>
    <n v="48.479980999999952"/>
  </r>
  <r>
    <x v="214"/>
    <n v="3291.540039"/>
    <n v="3325.75"/>
    <n v="3283.0600589999999"/>
    <n v="3302.429932"/>
    <n v="2409100"/>
    <n v="10.889893000000029"/>
  </r>
  <r>
    <x v="215"/>
    <n v="3317"/>
    <n v="3321.429932"/>
    <n v="3288.1999510000001"/>
    <n v="3288.6201169999999"/>
    <n v="1995500"/>
    <n v="-28.379883000000063"/>
  </r>
  <r>
    <x v="216"/>
    <n v="3275"/>
    <n v="3292.5900879999999"/>
    <n v="3238.1000979999999"/>
    <n v="3246.3000489999999"/>
    <n v="2034200"/>
    <n v="-28.699951000000056"/>
  </r>
  <r>
    <x v="217"/>
    <n v="3257"/>
    <n v="3267.530029"/>
    <n v="3236.280029"/>
    <n v="3247.330078"/>
    <n v="1819600"/>
    <n v="-9.6699220000000423"/>
  </r>
  <r>
    <x v="218"/>
    <n v="3269.709961"/>
    <n v="3288.3798830000001"/>
    <n v="3261.0900879999999"/>
    <n v="3284.280029"/>
    <n v="2420100"/>
    <n v="14.570067999999992"/>
  </r>
  <r>
    <x v="219"/>
    <n v="3302.4499510000001"/>
    <n v="3312.6000979999999"/>
    <n v="3290.780029"/>
    <n v="3299.860107"/>
    <n v="2109500"/>
    <n v="-2.5898440000000846"/>
  </r>
  <r>
    <x v="220"/>
    <n v="3311.419922"/>
    <n v="3410.419922"/>
    <n v="3304"/>
    <n v="3409.0200199999999"/>
    <n v="5175100"/>
    <n v="97.600097999999889"/>
  </r>
  <r>
    <x v="221"/>
    <n v="3388.360107"/>
    <n v="3449.169922"/>
    <n v="3385.1000979999999"/>
    <n v="3446.73999"/>
    <n v="3174100"/>
    <n v="58.379883000000063"/>
  </r>
  <r>
    <x v="222"/>
    <n v="3434.290039"/>
    <n v="3454.6899410000001"/>
    <n v="3422"/>
    <n v="3444.1499020000001"/>
    <n v="2386100"/>
    <n v="9.8598630000001322"/>
  </r>
  <r>
    <x v="223"/>
    <n v="3452.6599120000001"/>
    <n v="3462.860107"/>
    <n v="3400.3701169999999"/>
    <n v="3415.0600589999999"/>
    <n v="2139800"/>
    <n v="-37.599853000000167"/>
  </r>
  <r>
    <x v="224"/>
    <n v="3414.25"/>
    <n v="3440.280029"/>
    <n v="3403"/>
    <n v="3435.01001"/>
    <n v="1881400"/>
    <n v="20.760009999999966"/>
  </r>
  <r>
    <x v="225"/>
    <n v="3421"/>
    <n v="3429.8400879999999"/>
    <n v="3331.3000489999999"/>
    <n v="3335.5500489999999"/>
    <n v="3139100"/>
    <n v="-85.449951000000056"/>
  </r>
  <r>
    <x v="226"/>
    <n v="3335"/>
    <n v="3347.8000489999999"/>
    <n v="3297.6999510000001"/>
    <n v="3320.3701169999999"/>
    <n v="2226000"/>
    <n v="-14.629883000000063"/>
  </r>
  <r>
    <x v="227"/>
    <n v="3349.51001"/>
    <n v="3416.1201169999999"/>
    <n v="3343.9799800000001"/>
    <n v="3376.070068"/>
    <n v="2698300"/>
    <n v="26.560058000000026"/>
  </r>
  <r>
    <x v="228"/>
    <n v="3388"/>
    <n v="3437"/>
    <n v="3371.4499510000001"/>
    <n v="3392.48999"/>
    <n v="2702200"/>
    <n v="4.4899900000000343"/>
  </r>
  <r>
    <x v="229"/>
    <n v="3402.1000979999999"/>
    <n v="3479"/>
    <n v="3386"/>
    <n v="3446.570068"/>
    <n v="5708700"/>
    <n v="44.469970000000103"/>
  </r>
  <r>
    <x v="230"/>
    <n v="3300.0200199999999"/>
    <n v="3374.820068"/>
    <n v="3273.320068"/>
    <n v="3372.429932"/>
    <n v="6469500"/>
    <n v="72.409912000000077"/>
  </r>
  <r>
    <x v="231"/>
    <n v="3361.8000489999999"/>
    <n v="3375.860107"/>
    <n v="3292.0200199999999"/>
    <n v="3318.110107"/>
    <n v="3608900"/>
    <n v="-43.689941999999974"/>
  </r>
  <r>
    <x v="232"/>
    <n v="3315.01001"/>
    <n v="3331.1201169999999"/>
    <n v="3283.5500489999999"/>
    <n v="3312.75"/>
    <n v="2627600"/>
    <n v="-2.2600099999999657"/>
  </r>
  <r>
    <x v="233"/>
    <n v="3309"/>
    <n v="3394.919922"/>
    <n v="3297.5200199999999"/>
    <n v="3384"/>
    <n v="3397200"/>
    <n v="75"/>
  </r>
  <r>
    <x v="234"/>
    <n v="3370"/>
    <n v="3498.6298830000001"/>
    <n v="3365"/>
    <n v="3477"/>
    <n v="5353000"/>
    <n v="107"/>
  </r>
  <r>
    <x v="235"/>
    <n v="3477"/>
    <n v="3566.25"/>
    <n v="3476.9799800000001"/>
    <n v="3518.98999"/>
    <n v="4993500"/>
    <n v="41.989990000000034"/>
  </r>
  <r>
    <x v="236"/>
    <n v="3523.23999"/>
    <n v="3579"/>
    <n v="3487.860107"/>
    <n v="3488.9799800000001"/>
    <n v="3074000"/>
    <n v="-34.260009999999966"/>
  </r>
  <r>
    <x v="237"/>
    <n v="3515.25"/>
    <n v="3593.7700199999999"/>
    <n v="3501.429932"/>
    <n v="3576.2299800000001"/>
    <n v="4294900"/>
    <n v="60.979980000000069"/>
  </r>
  <r>
    <x v="238"/>
    <n v="3563.8701169999999"/>
    <n v="3605.4499510000001"/>
    <n v="3463.0900879999999"/>
    <n v="3482.0500489999999"/>
    <n v="4027400"/>
    <n v="-81.820067999999992"/>
  </r>
  <r>
    <x v="239"/>
    <n v="3513"/>
    <n v="3543.23999"/>
    <n v="3467.469971"/>
    <n v="3472.5"/>
    <n v="2264400"/>
    <n v="-40.5"/>
  </r>
  <r>
    <x v="240"/>
    <n v="3485"/>
    <n v="3540.7299800000001"/>
    <n v="3447.0500489999999"/>
    <n v="3525.1499020000001"/>
    <n v="2688500"/>
    <n v="40.149902000000111"/>
  </r>
  <r>
    <x v="241"/>
    <n v="3537"/>
    <n v="3593.8798830000001"/>
    <n v="3525.8100589999999"/>
    <n v="3545.679932"/>
    <n v="2929700"/>
    <n v="8.679932000000008"/>
  </r>
  <r>
    <x v="242"/>
    <n v="3539"/>
    <n v="3576.5"/>
    <n v="3525.1499020000001"/>
    <n v="3540.6999510000001"/>
    <n v="2217100"/>
    <n v="1.6999510000000555"/>
  </r>
  <r>
    <x v="243"/>
    <n v="3564.719971"/>
    <n v="3587.25"/>
    <n v="3545.3500979999999"/>
    <n v="3549"/>
    <n v="2560300"/>
    <n v="-15.719970999999987"/>
  </r>
  <r>
    <x v="244"/>
    <n v="3566.3500979999999"/>
    <n v="3704.1999510000001"/>
    <n v="3561"/>
    <n v="3696.0600589999999"/>
    <n v="5703500"/>
    <n v="129.70996100000002"/>
  </r>
  <r>
    <x v="245"/>
    <n v="3712.6899410000001"/>
    <n v="3762.1499020000001"/>
    <n v="3675.719971"/>
    <n v="3676.570068"/>
    <n v="4936700"/>
    <n v="-36.119873000000098"/>
  </r>
  <r>
    <x v="246"/>
    <n v="3676.3798830000001"/>
    <n v="3713.459961"/>
    <n v="3567.5"/>
    <n v="3572.570068"/>
    <n v="4842200"/>
    <n v="-103.80981500000007"/>
  </r>
  <r>
    <x v="247"/>
    <n v="3585.040039"/>
    <n v="3621.0500489999999"/>
    <n v="3527.709961"/>
    <n v="3580.040039"/>
    <n v="3690200"/>
    <n v="-5"/>
  </r>
  <r>
    <x v="248"/>
    <n v="3562.669922"/>
    <n v="3613.639893"/>
    <n v="3536.8500979999999"/>
    <n v="3580.4099120000001"/>
    <n v="2328000"/>
    <n v="17.739990000000034"/>
  </r>
  <r>
    <x v="249"/>
    <n v="3602.1000979999999"/>
    <n v="3633.5"/>
    <n v="3504.1499020000001"/>
    <n v="3504.5600589999999"/>
    <n v="2991300"/>
    <n v="-97.540038999999979"/>
  </r>
  <r>
    <x v="250"/>
    <n v="3547.639893"/>
    <n v="3596"/>
    <n v="3531.5"/>
    <n v="3561.570068"/>
    <n v="3265600"/>
    <n v="13.930174999999963"/>
  </r>
  <r>
    <x v="251"/>
    <n v="3563.5"/>
    <n v="3585.7700199999999"/>
    <n v="3492.01001"/>
    <n v="3507.070068"/>
    <n v="4001100"/>
    <n v="-56.429932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FF514-0784-D247-B15A-5A4C86E27D7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I3:J18" firstHeaderRow="1" firstDataRow="1" firstDataCol="1"/>
  <pivotFields count="10">
    <pivotField axis="axisRow"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9"/>
    <field x="7"/>
    <field x="0"/>
  </rowFields>
  <rowItems count="15">
    <i>
      <x v="1"/>
    </i>
    <i r="1">
      <x v="12"/>
    </i>
    <i>
      <x v="2"/>
    </i>
    <i r="1">
      <x v="1"/>
    </i>
    <i r="1">
      <x v="2"/>
    </i>
    <i r="1">
      <x v="3"/>
    </i>
    <i r="1">
      <x v="4"/>
    </i>
    <i r="1">
      <x v="5"/>
    </i>
    <i r="1">
      <x v="6"/>
    </i>
    <i r="1">
      <x v="7"/>
    </i>
    <i r="1">
      <x v="8"/>
    </i>
    <i r="1">
      <x v="9"/>
    </i>
    <i r="1">
      <x v="10"/>
    </i>
    <i r="1">
      <x v="11"/>
    </i>
    <i t="grand">
      <x/>
    </i>
  </rowItems>
  <colItems count="1">
    <i/>
  </colItems>
  <dataFields count="1">
    <dataField name="Net change" fld="6" baseField="0" baseItem="0"/>
  </dataFields>
  <formats count="2">
    <format dxfId="1">
      <pivotArea dataOnly="0" labelOnly="1" outline="0" axis="axisValues" fieldPosition="0"/>
    </format>
    <format dxfId="0">
      <pivotArea field="9"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421B1-92C7-ED4C-94D0-75AEA3EE318E}" name="dataset" displayName="dataset" ref="A1:I253" totalsRowShown="0">
  <autoFilter ref="A1:I253" xr:uid="{F17421B1-92C7-ED4C-94D0-75AEA3EE318E}"/>
  <tableColumns count="9">
    <tableColumn id="1" xr3:uid="{A5555188-14A5-8043-8655-97432DEE9147}" name="Date" dataDxfId="4"/>
    <tableColumn id="2" xr3:uid="{E5EB3699-6CBA-304F-B44F-8D30B097B9EC}" name="Open"/>
    <tableColumn id="3" xr3:uid="{8F9F557B-2702-E243-8E45-03C401A6E405}" name="High"/>
    <tableColumn id="4" xr3:uid="{0FB48101-CBCE-E145-9764-CA38CEF7B471}" name="Low"/>
    <tableColumn id="5" xr3:uid="{5E2DDEE6-1173-D446-98EA-EEA98BFD384C}" name="Close"/>
    <tableColumn id="6" xr3:uid="{EF3BC355-5683-C54A-BF6C-6ED41403B182}" name="Volume"/>
    <tableColumn id="7" xr3:uid="{E211EEE3-1F12-534A-B64F-87504F93DFAC}" name="Daily change">
      <calculatedColumnFormula>E2-B2</calculatedColumnFormula>
    </tableColumn>
    <tableColumn id="8" xr3:uid="{BF7F87EC-C74E-EE4E-8E01-C6865ED359B8}" name="Volume (millions)" dataDxfId="3">
      <calculatedColumnFormula>F2/1000000</calculatedColumnFormula>
    </tableColumn>
    <tableColumn id="9" xr3:uid="{9B4803E2-8515-0441-9FED-4650C2A4CA71}" name="High - low" dataDxfId="2">
      <calculatedColumnFormula>C2-D2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818B-BD20-0C4D-B06A-0CA5236F474F}">
  <dimension ref="B2:I227"/>
  <sheetViews>
    <sheetView showGridLines="0" tabSelected="1" topLeftCell="A162" zoomScale="99" workbookViewId="0">
      <selection activeCell="M182" sqref="M182"/>
    </sheetView>
  </sheetViews>
  <sheetFormatPr baseColWidth="10" defaultRowHeight="16" x14ac:dyDescent="0.2"/>
  <cols>
    <col min="9" max="9" width="26.6640625" customWidth="1"/>
  </cols>
  <sheetData>
    <row r="2" spans="2:9" s="10" customFormat="1" ht="32" x14ac:dyDescent="0.4">
      <c r="B2" s="25" t="s">
        <v>39</v>
      </c>
      <c r="C2" s="25"/>
      <c r="D2" s="25"/>
      <c r="E2" s="25"/>
      <c r="F2" s="25"/>
      <c r="G2" s="25"/>
      <c r="H2" s="25"/>
      <c r="I2" s="25"/>
    </row>
    <row r="3" spans="2:9" s="10" customFormat="1" x14ac:dyDescent="0.2"/>
    <row r="4" spans="2:9" s="10" customFormat="1" ht="19" x14ac:dyDescent="0.25">
      <c r="B4" s="20" t="s">
        <v>40</v>
      </c>
      <c r="C4" s="20"/>
    </row>
    <row r="5" spans="2:9" s="10" customFormat="1" x14ac:dyDescent="0.2"/>
    <row r="6" spans="2:9" s="10" customFormat="1" x14ac:dyDescent="0.2">
      <c r="B6" s="16" t="s">
        <v>41</v>
      </c>
      <c r="C6" s="16"/>
      <c r="D6" s="16"/>
      <c r="E6" s="16"/>
      <c r="F6" s="16"/>
      <c r="G6" s="16"/>
      <c r="H6" s="16"/>
      <c r="I6" s="16"/>
    </row>
    <row r="7" spans="2:9" s="10" customFormat="1" x14ac:dyDescent="0.2">
      <c r="B7" s="13"/>
      <c r="C7" s="13"/>
      <c r="D7" s="13"/>
      <c r="E7" s="13"/>
      <c r="F7" s="13"/>
      <c r="G7" s="13"/>
      <c r="H7" s="13"/>
      <c r="I7" s="13"/>
    </row>
    <row r="8" spans="2:9" s="10" customFormat="1" ht="19" x14ac:dyDescent="0.25">
      <c r="B8" s="20" t="s">
        <v>42</v>
      </c>
      <c r="C8" s="20"/>
      <c r="D8" s="13"/>
      <c r="E8" s="13"/>
      <c r="F8" s="13"/>
      <c r="G8" s="13"/>
      <c r="H8" s="13"/>
      <c r="I8" s="13"/>
    </row>
    <row r="9" spans="2:9" s="10" customFormat="1" x14ac:dyDescent="0.2">
      <c r="B9" s="13"/>
      <c r="C9" s="13"/>
      <c r="D9" s="13"/>
      <c r="E9" s="13"/>
      <c r="F9" s="13"/>
      <c r="G9" s="13"/>
      <c r="H9" s="13"/>
      <c r="I9" s="13"/>
    </row>
    <row r="10" spans="2:9" s="10" customFormat="1" x14ac:dyDescent="0.2">
      <c r="B10" s="16" t="s">
        <v>43</v>
      </c>
      <c r="C10" s="16"/>
      <c r="D10" s="16"/>
      <c r="E10" s="16"/>
      <c r="F10" s="16"/>
      <c r="G10" s="16"/>
      <c r="H10" s="16"/>
      <c r="I10" s="16"/>
    </row>
    <row r="11" spans="2:9" s="10" customFormat="1" x14ac:dyDescent="0.2">
      <c r="B11" s="18" t="s">
        <v>44</v>
      </c>
      <c r="C11" s="18"/>
      <c r="D11" s="18"/>
      <c r="E11" s="18"/>
      <c r="F11" s="18"/>
      <c r="G11" s="18"/>
      <c r="H11" s="18"/>
      <c r="I11" s="18"/>
    </row>
    <row r="12" spans="2:9" s="10" customFormat="1" x14ac:dyDescent="0.2">
      <c r="B12" s="18" t="s">
        <v>45</v>
      </c>
      <c r="C12" s="18"/>
      <c r="D12" s="18"/>
      <c r="E12" s="18"/>
      <c r="F12" s="18"/>
      <c r="G12" s="18"/>
      <c r="H12" s="18"/>
      <c r="I12" s="18"/>
    </row>
    <row r="13" spans="2:9" s="10" customFormat="1" x14ac:dyDescent="0.2">
      <c r="B13" s="18" t="s">
        <v>46</v>
      </c>
      <c r="C13" s="18"/>
      <c r="D13" s="18"/>
      <c r="E13" s="18"/>
      <c r="F13" s="18"/>
      <c r="G13" s="18"/>
      <c r="H13" s="18"/>
      <c r="I13" s="18"/>
    </row>
    <row r="14" spans="2:9" s="10" customFormat="1" x14ac:dyDescent="0.2">
      <c r="B14" s="18" t="s">
        <v>47</v>
      </c>
      <c r="C14" s="18"/>
      <c r="D14" s="18"/>
      <c r="E14" s="18"/>
      <c r="F14" s="18"/>
      <c r="G14" s="18"/>
      <c r="H14" s="18"/>
      <c r="I14" s="18"/>
    </row>
    <row r="15" spans="2:9" s="10" customFormat="1" x14ac:dyDescent="0.2">
      <c r="B15" s="13"/>
      <c r="C15" s="13"/>
      <c r="D15" s="13"/>
      <c r="E15" s="13"/>
      <c r="F15" s="13"/>
      <c r="G15" s="13"/>
      <c r="H15" s="13"/>
      <c r="I15" s="13"/>
    </row>
    <row r="16" spans="2:9" s="10" customFormat="1" x14ac:dyDescent="0.2">
      <c r="B16" s="16" t="s">
        <v>48</v>
      </c>
      <c r="C16" s="16"/>
      <c r="D16" s="16"/>
      <c r="E16" s="16"/>
      <c r="F16" s="16"/>
      <c r="G16" s="16"/>
      <c r="H16" s="16"/>
      <c r="I16" s="16"/>
    </row>
    <row r="17" spans="2:9" s="10" customFormat="1" x14ac:dyDescent="0.2"/>
    <row r="19" spans="2:9" ht="24" x14ac:dyDescent="0.3">
      <c r="B19" s="11" t="s">
        <v>49</v>
      </c>
    </row>
    <row r="21" spans="2:9" ht="19" x14ac:dyDescent="0.25">
      <c r="B21" s="9" t="s">
        <v>50</v>
      </c>
    </row>
    <row r="23" spans="2:9" ht="52" customHeight="1" x14ac:dyDescent="0.2">
      <c r="B23" s="16" t="s">
        <v>51</v>
      </c>
      <c r="C23" s="16"/>
      <c r="D23" s="16"/>
      <c r="E23" s="16"/>
      <c r="F23" s="16"/>
      <c r="G23" s="16"/>
      <c r="H23" s="16"/>
      <c r="I23" s="16"/>
    </row>
    <row r="25" spans="2:9" ht="19" x14ac:dyDescent="0.25">
      <c r="B25" s="9" t="s">
        <v>52</v>
      </c>
    </row>
    <row r="27" spans="2:9" ht="50" customHeight="1" x14ac:dyDescent="0.2">
      <c r="B27" s="18" t="s">
        <v>57</v>
      </c>
      <c r="C27" s="18"/>
      <c r="D27" s="18"/>
      <c r="E27" s="18"/>
      <c r="F27" s="18"/>
      <c r="G27" s="18"/>
      <c r="H27" s="18"/>
      <c r="I27" s="18"/>
    </row>
    <row r="28" spans="2:9" ht="46" customHeight="1" x14ac:dyDescent="0.2">
      <c r="B28" s="18" t="s">
        <v>53</v>
      </c>
      <c r="C28" s="18"/>
      <c r="D28" s="18"/>
      <c r="E28" s="18"/>
      <c r="F28" s="18"/>
      <c r="G28" s="18"/>
      <c r="H28" s="18"/>
      <c r="I28" s="18"/>
    </row>
    <row r="29" spans="2:9" ht="62" customHeight="1" x14ac:dyDescent="0.2">
      <c r="B29" s="18" t="s">
        <v>54</v>
      </c>
      <c r="C29" s="18"/>
      <c r="D29" s="18"/>
      <c r="E29" s="18"/>
      <c r="F29" s="18"/>
      <c r="G29" s="18"/>
      <c r="H29" s="18"/>
      <c r="I29" s="18"/>
    </row>
    <row r="30" spans="2:9" x14ac:dyDescent="0.2">
      <c r="B30" s="5"/>
      <c r="C30" s="5"/>
      <c r="D30" s="5"/>
      <c r="E30" s="5"/>
      <c r="F30" s="5"/>
      <c r="G30" s="5"/>
      <c r="H30" s="5"/>
      <c r="I30" s="5"/>
    </row>
    <row r="31" spans="2:9" ht="19" x14ac:dyDescent="0.25">
      <c r="B31" s="14" t="s">
        <v>55</v>
      </c>
      <c r="C31" s="5"/>
      <c r="D31" s="5"/>
      <c r="E31" s="5"/>
      <c r="F31" s="5"/>
      <c r="G31" s="5"/>
      <c r="H31" s="5"/>
      <c r="I31" s="5"/>
    </row>
    <row r="32" spans="2:9" x14ac:dyDescent="0.2">
      <c r="B32" s="5"/>
      <c r="C32" s="5"/>
      <c r="D32" s="5"/>
      <c r="E32" s="5"/>
      <c r="F32" s="5"/>
      <c r="G32" s="5"/>
      <c r="H32" s="5"/>
      <c r="I32" s="5"/>
    </row>
    <row r="33" spans="2:9" ht="49" customHeight="1" x14ac:dyDescent="0.2">
      <c r="B33" s="16" t="s">
        <v>56</v>
      </c>
      <c r="C33" s="16"/>
      <c r="D33" s="16"/>
      <c r="E33" s="16"/>
      <c r="F33" s="16"/>
      <c r="G33" s="16"/>
      <c r="H33" s="16"/>
      <c r="I33" s="16"/>
    </row>
    <row r="35" spans="2:9" ht="19" x14ac:dyDescent="0.25">
      <c r="B35" s="9"/>
    </row>
    <row r="90" spans="2:9" ht="24" x14ac:dyDescent="0.3">
      <c r="B90" s="22" t="s">
        <v>58</v>
      </c>
      <c r="C90" s="22"/>
      <c r="D90" s="22"/>
      <c r="E90" s="22"/>
      <c r="F90" s="22"/>
      <c r="G90" s="22"/>
      <c r="H90" s="22"/>
      <c r="I90" s="22"/>
    </row>
    <row r="91" spans="2:9" x14ac:dyDescent="0.2">
      <c r="B91" s="10"/>
      <c r="C91" s="10"/>
      <c r="D91" s="10"/>
      <c r="E91" s="10"/>
      <c r="F91" s="10"/>
      <c r="G91" s="10"/>
      <c r="H91" s="10"/>
      <c r="I91" s="10"/>
    </row>
    <row r="92" spans="2:9" ht="20" x14ac:dyDescent="0.25">
      <c r="B92" s="15" t="s">
        <v>50</v>
      </c>
      <c r="C92" s="10"/>
      <c r="D92" s="10"/>
      <c r="E92" s="10"/>
      <c r="F92" s="10"/>
      <c r="G92" s="10"/>
      <c r="H92" s="10"/>
      <c r="I92" s="10"/>
    </row>
    <row r="93" spans="2:9" x14ac:dyDescent="0.2">
      <c r="B93" s="10"/>
      <c r="C93" s="10"/>
      <c r="D93" s="10"/>
      <c r="E93" s="10"/>
      <c r="F93" s="10"/>
      <c r="G93" s="10"/>
      <c r="H93" s="10"/>
      <c r="I93" s="10"/>
    </row>
    <row r="94" spans="2:9" ht="47" customHeight="1" x14ac:dyDescent="0.2">
      <c r="B94" s="21" t="s">
        <v>59</v>
      </c>
      <c r="C94" s="21"/>
      <c r="D94" s="21"/>
      <c r="E94" s="21"/>
      <c r="F94" s="21"/>
      <c r="G94" s="21"/>
      <c r="H94" s="21"/>
      <c r="I94" s="21"/>
    </row>
    <row r="95" spans="2:9" x14ac:dyDescent="0.2">
      <c r="B95" s="10"/>
      <c r="C95" s="10"/>
      <c r="D95" s="10"/>
      <c r="E95" s="10"/>
      <c r="F95" s="10"/>
      <c r="G95" s="10"/>
      <c r="H95" s="10"/>
      <c r="I95" s="10"/>
    </row>
    <row r="96" spans="2:9" ht="40" customHeight="1" x14ac:dyDescent="0.25">
      <c r="B96" s="23" t="s">
        <v>52</v>
      </c>
      <c r="C96" s="23"/>
      <c r="D96" s="23"/>
      <c r="E96" s="23"/>
      <c r="F96" s="23"/>
      <c r="G96" s="23"/>
      <c r="H96" s="23"/>
      <c r="I96" s="23"/>
    </row>
    <row r="97" spans="2:9" x14ac:dyDescent="0.2">
      <c r="B97" s="10"/>
      <c r="C97" s="10"/>
      <c r="D97" s="10"/>
      <c r="E97" s="10"/>
      <c r="F97" s="10"/>
      <c r="G97" s="10"/>
      <c r="H97" s="10"/>
      <c r="I97" s="10"/>
    </row>
    <row r="98" spans="2:9" ht="65" customHeight="1" x14ac:dyDescent="0.2">
      <c r="B98" s="24" t="s">
        <v>60</v>
      </c>
      <c r="C98" s="24"/>
      <c r="D98" s="24"/>
      <c r="E98" s="24"/>
      <c r="F98" s="24"/>
      <c r="G98" s="24"/>
      <c r="H98" s="24"/>
      <c r="I98" s="24"/>
    </row>
    <row r="99" spans="2:9" ht="64" customHeight="1" x14ac:dyDescent="0.2">
      <c r="B99" s="24" t="s">
        <v>61</v>
      </c>
      <c r="C99" s="24"/>
      <c r="D99" s="24"/>
      <c r="E99" s="24"/>
      <c r="F99" s="24"/>
      <c r="G99" s="24"/>
      <c r="H99" s="24"/>
      <c r="I99" s="24"/>
    </row>
    <row r="100" spans="2:9" x14ac:dyDescent="0.2">
      <c r="B100" s="10"/>
      <c r="C100" s="10"/>
      <c r="D100" s="10"/>
      <c r="E100" s="10"/>
      <c r="F100" s="10"/>
      <c r="G100" s="10"/>
      <c r="H100" s="10"/>
      <c r="I100" s="10"/>
    </row>
    <row r="101" spans="2:9" ht="19" x14ac:dyDescent="0.25">
      <c r="B101" s="23" t="s">
        <v>55</v>
      </c>
      <c r="C101" s="23"/>
      <c r="D101" s="23"/>
      <c r="E101" s="23"/>
      <c r="F101" s="23"/>
      <c r="G101" s="23"/>
      <c r="H101" s="23"/>
      <c r="I101" s="23"/>
    </row>
    <row r="102" spans="2:9" x14ac:dyDescent="0.2">
      <c r="B102" s="10"/>
      <c r="C102" s="10"/>
      <c r="D102" s="10"/>
      <c r="E102" s="10"/>
      <c r="F102" s="10"/>
      <c r="G102" s="10"/>
      <c r="H102" s="10"/>
      <c r="I102" s="10"/>
    </row>
    <row r="103" spans="2:9" ht="79" customHeight="1" x14ac:dyDescent="0.2">
      <c r="B103" s="21" t="s">
        <v>62</v>
      </c>
      <c r="C103" s="21"/>
      <c r="D103" s="21"/>
      <c r="E103" s="21"/>
      <c r="F103" s="21"/>
      <c r="G103" s="21"/>
      <c r="H103" s="21"/>
      <c r="I103" s="21"/>
    </row>
    <row r="104" spans="2:9" x14ac:dyDescent="0.2">
      <c r="B104" s="13"/>
      <c r="C104" s="13"/>
      <c r="D104" s="13"/>
      <c r="E104" s="13"/>
      <c r="F104" s="13"/>
      <c r="G104" s="13"/>
      <c r="H104" s="13"/>
      <c r="I104" s="13"/>
    </row>
    <row r="105" spans="2:9" x14ac:dyDescent="0.2">
      <c r="B105" s="13"/>
      <c r="C105" s="13"/>
      <c r="D105" s="13"/>
      <c r="E105" s="13"/>
      <c r="F105" s="13"/>
      <c r="G105" s="13"/>
      <c r="H105" s="13"/>
      <c r="I105" s="13"/>
    </row>
    <row r="106" spans="2:9" x14ac:dyDescent="0.2">
      <c r="B106" s="13"/>
      <c r="C106" s="13"/>
      <c r="D106" s="13"/>
      <c r="E106" s="13"/>
      <c r="F106" s="13"/>
      <c r="G106" s="13"/>
      <c r="H106" s="13"/>
      <c r="I106" s="13"/>
    </row>
    <row r="149" spans="2:9" ht="24" x14ac:dyDescent="0.3">
      <c r="B149" s="19" t="s">
        <v>63</v>
      </c>
      <c r="C149" s="19"/>
      <c r="D149" s="19"/>
      <c r="E149" s="19"/>
      <c r="F149" s="19"/>
      <c r="G149" s="19"/>
      <c r="H149" s="19"/>
      <c r="I149" s="19"/>
    </row>
    <row r="150" spans="2:9" x14ac:dyDescent="0.2">
      <c r="B150" s="13"/>
      <c r="C150" s="13"/>
      <c r="D150" s="13"/>
      <c r="E150" s="13"/>
      <c r="F150" s="13"/>
      <c r="G150" s="13"/>
      <c r="H150" s="13"/>
      <c r="I150" s="13"/>
    </row>
    <row r="151" spans="2:9" ht="19" x14ac:dyDescent="0.25">
      <c r="B151" s="20" t="s">
        <v>50</v>
      </c>
      <c r="C151" s="20"/>
      <c r="D151" s="20"/>
      <c r="E151" s="20"/>
      <c r="F151" s="20"/>
      <c r="G151" s="20"/>
      <c r="H151" s="20"/>
      <c r="I151" s="20"/>
    </row>
    <row r="152" spans="2:9" x14ac:dyDescent="0.2">
      <c r="B152" s="13"/>
      <c r="C152" s="13"/>
      <c r="D152" s="13"/>
      <c r="E152" s="13"/>
      <c r="F152" s="13"/>
      <c r="G152" s="13"/>
      <c r="H152" s="13"/>
      <c r="I152" s="13"/>
    </row>
    <row r="153" spans="2:9" ht="51" customHeight="1" x14ac:dyDescent="0.2">
      <c r="B153" s="16" t="s">
        <v>64</v>
      </c>
      <c r="C153" s="16"/>
      <c r="D153" s="16"/>
      <c r="E153" s="16"/>
      <c r="F153" s="16"/>
      <c r="G153" s="16"/>
      <c r="H153" s="16"/>
      <c r="I153" s="16"/>
    </row>
    <row r="154" spans="2:9" x14ac:dyDescent="0.2">
      <c r="B154" s="13"/>
      <c r="C154" s="13"/>
      <c r="D154" s="13"/>
      <c r="E154" s="13"/>
      <c r="F154" s="13"/>
      <c r="G154" s="13"/>
      <c r="H154" s="13"/>
      <c r="I154" s="13"/>
    </row>
    <row r="155" spans="2:9" ht="19" x14ac:dyDescent="0.25">
      <c r="B155" s="20" t="s">
        <v>52</v>
      </c>
      <c r="C155" s="20"/>
      <c r="D155" s="20"/>
      <c r="E155" s="20"/>
      <c r="F155" s="20"/>
      <c r="G155" s="20"/>
      <c r="H155" s="20"/>
      <c r="I155" s="20"/>
    </row>
    <row r="156" spans="2:9" x14ac:dyDescent="0.2">
      <c r="B156" s="13"/>
      <c r="C156" s="13"/>
      <c r="D156" s="13"/>
      <c r="E156" s="13"/>
      <c r="F156" s="13"/>
      <c r="G156" s="13"/>
      <c r="H156" s="13"/>
      <c r="I156" s="13"/>
    </row>
    <row r="157" spans="2:9" ht="66" customHeight="1" x14ac:dyDescent="0.2">
      <c r="B157" s="18" t="s">
        <v>65</v>
      </c>
      <c r="C157" s="18"/>
      <c r="D157" s="18"/>
      <c r="E157" s="18"/>
      <c r="F157" s="18"/>
      <c r="G157" s="18"/>
      <c r="H157" s="18"/>
      <c r="I157" s="18"/>
    </row>
    <row r="158" spans="2:9" ht="49" customHeight="1" x14ac:dyDescent="0.2">
      <c r="B158" s="18" t="s">
        <v>66</v>
      </c>
      <c r="C158" s="18"/>
      <c r="D158" s="18"/>
      <c r="E158" s="18"/>
      <c r="F158" s="18"/>
      <c r="G158" s="18"/>
      <c r="H158" s="18"/>
      <c r="I158" s="18"/>
    </row>
    <row r="159" spans="2:9" x14ac:dyDescent="0.2">
      <c r="B159" s="13"/>
      <c r="C159" s="13"/>
      <c r="D159" s="13"/>
      <c r="E159" s="13"/>
      <c r="F159" s="13"/>
      <c r="G159" s="13"/>
      <c r="H159" s="13"/>
      <c r="I159" s="13"/>
    </row>
    <row r="160" spans="2:9" ht="19" x14ac:dyDescent="0.25">
      <c r="B160" s="20" t="s">
        <v>55</v>
      </c>
      <c r="C160" s="20"/>
      <c r="D160" s="20"/>
      <c r="E160" s="20"/>
      <c r="F160" s="20"/>
      <c r="G160" s="20"/>
      <c r="H160" s="20"/>
      <c r="I160" s="20"/>
    </row>
    <row r="161" spans="2:9" x14ac:dyDescent="0.2">
      <c r="B161" s="13"/>
      <c r="C161" s="13"/>
      <c r="D161" s="13"/>
      <c r="E161" s="13"/>
      <c r="F161" s="13"/>
      <c r="G161" s="13"/>
      <c r="H161" s="13"/>
      <c r="I161" s="13"/>
    </row>
    <row r="162" spans="2:9" ht="81" customHeight="1" x14ac:dyDescent="0.2">
      <c r="B162" s="16" t="s">
        <v>67</v>
      </c>
      <c r="C162" s="16"/>
      <c r="D162" s="16"/>
      <c r="E162" s="16"/>
      <c r="F162" s="16"/>
      <c r="G162" s="16"/>
      <c r="H162" s="16"/>
      <c r="I162" s="16"/>
    </row>
    <row r="184" spans="2:9" ht="24" x14ac:dyDescent="0.3">
      <c r="B184" s="19" t="s">
        <v>68</v>
      </c>
      <c r="C184" s="19"/>
      <c r="D184" s="19"/>
      <c r="E184" s="19"/>
      <c r="F184" s="19"/>
      <c r="G184" s="19"/>
      <c r="H184" s="19"/>
      <c r="I184" s="19"/>
    </row>
    <row r="185" spans="2:9" x14ac:dyDescent="0.2">
      <c r="B185" s="13"/>
      <c r="C185" s="13"/>
      <c r="D185" s="13"/>
      <c r="E185" s="13"/>
      <c r="F185" s="13"/>
      <c r="G185" s="13"/>
      <c r="H185" s="13"/>
      <c r="I185" s="13"/>
    </row>
    <row r="186" spans="2:9" ht="20" x14ac:dyDescent="0.25">
      <c r="B186" s="12" t="s">
        <v>50</v>
      </c>
      <c r="C186" s="13"/>
      <c r="D186" s="13"/>
      <c r="E186" s="13"/>
      <c r="F186" s="13"/>
      <c r="G186" s="13"/>
      <c r="H186" s="13"/>
      <c r="I186" s="13"/>
    </row>
    <row r="187" spans="2:9" x14ac:dyDescent="0.2">
      <c r="B187" s="13"/>
      <c r="C187" s="13"/>
      <c r="D187" s="13"/>
      <c r="E187" s="13"/>
      <c r="F187" s="13"/>
      <c r="G187" s="13"/>
      <c r="H187" s="13"/>
      <c r="I187" s="13"/>
    </row>
    <row r="188" spans="2:9" ht="49" customHeight="1" x14ac:dyDescent="0.2">
      <c r="B188" s="16" t="s">
        <v>69</v>
      </c>
      <c r="C188" s="16"/>
      <c r="D188" s="16"/>
      <c r="E188" s="16"/>
      <c r="F188" s="16"/>
      <c r="G188" s="16"/>
      <c r="H188" s="16"/>
      <c r="I188" s="16"/>
    </row>
    <row r="189" spans="2:9" x14ac:dyDescent="0.2">
      <c r="B189" s="13"/>
      <c r="C189" s="13"/>
      <c r="D189" s="13"/>
      <c r="E189" s="13"/>
      <c r="F189" s="13"/>
      <c r="G189" s="13"/>
      <c r="H189" s="13"/>
      <c r="I189" s="13"/>
    </row>
    <row r="190" spans="2:9" ht="19" x14ac:dyDescent="0.25">
      <c r="B190" s="20" t="s">
        <v>52</v>
      </c>
      <c r="C190" s="20"/>
      <c r="D190" s="20"/>
      <c r="E190" s="20"/>
      <c r="F190" s="20"/>
      <c r="G190" s="20"/>
      <c r="H190" s="20"/>
      <c r="I190" s="20"/>
    </row>
    <row r="191" spans="2:9" x14ac:dyDescent="0.2">
      <c r="B191" s="13"/>
      <c r="C191" s="13"/>
      <c r="D191" s="13"/>
      <c r="E191" s="13"/>
      <c r="F191" s="13"/>
      <c r="G191" s="13"/>
      <c r="H191" s="13"/>
      <c r="I191" s="13"/>
    </row>
    <row r="192" spans="2:9" ht="66" customHeight="1" x14ac:dyDescent="0.2">
      <c r="B192" s="18" t="s">
        <v>70</v>
      </c>
      <c r="C192" s="18"/>
      <c r="D192" s="18"/>
      <c r="E192" s="18"/>
      <c r="F192" s="18"/>
      <c r="G192" s="18"/>
      <c r="H192" s="18"/>
      <c r="I192" s="18"/>
    </row>
    <row r="193" spans="2:9" ht="46" customHeight="1" x14ac:dyDescent="0.2">
      <c r="B193" s="18" t="s">
        <v>71</v>
      </c>
      <c r="C193" s="18"/>
      <c r="D193" s="18"/>
      <c r="E193" s="18"/>
      <c r="F193" s="18"/>
      <c r="G193" s="18"/>
      <c r="H193" s="18"/>
      <c r="I193" s="18"/>
    </row>
    <row r="194" spans="2:9" x14ac:dyDescent="0.2">
      <c r="B194" s="13"/>
      <c r="C194" s="13"/>
      <c r="D194" s="13"/>
      <c r="E194" s="13"/>
      <c r="F194" s="13"/>
      <c r="G194" s="13"/>
      <c r="H194" s="13"/>
      <c r="I194" s="13"/>
    </row>
    <row r="195" spans="2:9" ht="19" x14ac:dyDescent="0.25">
      <c r="B195" s="20" t="s">
        <v>55</v>
      </c>
      <c r="C195" s="20"/>
      <c r="D195" s="20"/>
      <c r="E195" s="20"/>
      <c r="F195" s="20"/>
      <c r="G195" s="20"/>
      <c r="H195" s="20"/>
      <c r="I195" s="20"/>
    </row>
    <row r="196" spans="2:9" x14ac:dyDescent="0.2">
      <c r="B196" s="13"/>
      <c r="C196" s="13"/>
      <c r="D196" s="13"/>
      <c r="E196" s="13"/>
      <c r="F196" s="13"/>
      <c r="G196" s="13"/>
      <c r="H196" s="13"/>
      <c r="I196" s="13"/>
    </row>
    <row r="197" spans="2:9" ht="85" customHeight="1" x14ac:dyDescent="0.2">
      <c r="B197" s="16" t="s">
        <v>72</v>
      </c>
      <c r="C197" s="16"/>
      <c r="D197" s="16"/>
      <c r="E197" s="16"/>
      <c r="F197" s="16"/>
      <c r="G197" s="16"/>
      <c r="H197" s="16"/>
      <c r="I197" s="16"/>
    </row>
    <row r="223" spans="2:9" ht="24" x14ac:dyDescent="0.3">
      <c r="B223" s="17" t="s">
        <v>73</v>
      </c>
      <c r="C223" s="17"/>
      <c r="D223" s="17"/>
      <c r="E223" s="17"/>
      <c r="F223" s="17"/>
      <c r="G223" s="17"/>
      <c r="H223" s="17"/>
      <c r="I223" s="17"/>
    </row>
    <row r="225" spans="2:9" ht="33" customHeight="1" x14ac:dyDescent="0.2">
      <c r="B225" s="18" t="s">
        <v>74</v>
      </c>
      <c r="C225" s="18"/>
      <c r="D225" s="18"/>
      <c r="E225" s="18"/>
      <c r="F225" s="18"/>
      <c r="G225" s="18"/>
      <c r="H225" s="18"/>
      <c r="I225" s="18"/>
    </row>
    <row r="226" spans="2:9" ht="34" customHeight="1" x14ac:dyDescent="0.2">
      <c r="B226" s="18" t="s">
        <v>75</v>
      </c>
      <c r="C226" s="18"/>
      <c r="D226" s="18"/>
      <c r="E226" s="18"/>
      <c r="F226" s="18"/>
      <c r="G226" s="18"/>
      <c r="H226" s="18"/>
      <c r="I226" s="18"/>
    </row>
    <row r="227" spans="2:9" ht="31" customHeight="1" x14ac:dyDescent="0.2">
      <c r="B227" s="18" t="s">
        <v>76</v>
      </c>
      <c r="C227" s="18"/>
      <c r="D227" s="18"/>
      <c r="E227" s="18"/>
      <c r="F227" s="18"/>
      <c r="G227" s="18"/>
      <c r="H227" s="18"/>
      <c r="I227" s="18"/>
    </row>
  </sheetData>
  <mergeCells count="41">
    <mergeCell ref="B27:I27"/>
    <mergeCell ref="B2:I2"/>
    <mergeCell ref="B4:C4"/>
    <mergeCell ref="B6:I6"/>
    <mergeCell ref="B8:C8"/>
    <mergeCell ref="B10:I10"/>
    <mergeCell ref="B11:I11"/>
    <mergeCell ref="B12:I12"/>
    <mergeCell ref="B13:I13"/>
    <mergeCell ref="B14:I14"/>
    <mergeCell ref="B16:I16"/>
    <mergeCell ref="B23:I23"/>
    <mergeCell ref="B151:I151"/>
    <mergeCell ref="B28:I28"/>
    <mergeCell ref="B29:I29"/>
    <mergeCell ref="B33:I33"/>
    <mergeCell ref="B94:I94"/>
    <mergeCell ref="B98:I98"/>
    <mergeCell ref="B99:I99"/>
    <mergeCell ref="B103:I103"/>
    <mergeCell ref="B90:I90"/>
    <mergeCell ref="B96:I96"/>
    <mergeCell ref="B101:I101"/>
    <mergeCell ref="B149:I149"/>
    <mergeCell ref="B195:I195"/>
    <mergeCell ref="B153:I153"/>
    <mergeCell ref="B155:I155"/>
    <mergeCell ref="B157:I157"/>
    <mergeCell ref="B158:I158"/>
    <mergeCell ref="B160:I160"/>
    <mergeCell ref="B162:I162"/>
    <mergeCell ref="B184:I184"/>
    <mergeCell ref="B188:I188"/>
    <mergeCell ref="B190:I190"/>
    <mergeCell ref="B192:I192"/>
    <mergeCell ref="B193:I193"/>
    <mergeCell ref="B197:I197"/>
    <mergeCell ref="B223:I223"/>
    <mergeCell ref="B225:I225"/>
    <mergeCell ref="B226:I226"/>
    <mergeCell ref="B227:I2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EE4E-7F75-284C-89F9-45F669C34119}">
  <dimension ref="B2:C12"/>
  <sheetViews>
    <sheetView workbookViewId="0">
      <selection activeCell="C9" sqref="C9"/>
    </sheetView>
  </sheetViews>
  <sheetFormatPr baseColWidth="10" defaultRowHeight="16" x14ac:dyDescent="0.2"/>
  <cols>
    <col min="2" max="2" width="8.33203125" customWidth="1"/>
    <col min="3" max="3" width="39" customWidth="1"/>
  </cols>
  <sheetData>
    <row r="2" spans="2:3" x14ac:dyDescent="0.2">
      <c r="B2" s="27" t="s">
        <v>6</v>
      </c>
      <c r="C2" s="27"/>
    </row>
    <row r="3" spans="2:3" ht="53" customHeight="1" x14ac:dyDescent="0.2">
      <c r="B3" s="26" t="s">
        <v>7</v>
      </c>
      <c r="C3" s="26"/>
    </row>
    <row r="4" spans="2:3" x14ac:dyDescent="0.2">
      <c r="B4" s="2"/>
      <c r="C4" s="2"/>
    </row>
    <row r="5" spans="2:3" x14ac:dyDescent="0.2">
      <c r="B5" s="1" t="s">
        <v>0</v>
      </c>
      <c r="C5" s="2" t="s">
        <v>8</v>
      </c>
    </row>
    <row r="6" spans="2:3" x14ac:dyDescent="0.2">
      <c r="B6" s="1" t="s">
        <v>1</v>
      </c>
      <c r="C6" s="2" t="s">
        <v>9</v>
      </c>
    </row>
    <row r="7" spans="2:3" x14ac:dyDescent="0.2">
      <c r="B7" s="1" t="s">
        <v>2</v>
      </c>
      <c r="C7" s="2" t="s">
        <v>10</v>
      </c>
    </row>
    <row r="8" spans="2:3" x14ac:dyDescent="0.2">
      <c r="B8" s="1" t="s">
        <v>3</v>
      </c>
      <c r="C8" s="2" t="s">
        <v>11</v>
      </c>
    </row>
    <row r="9" spans="2:3" x14ac:dyDescent="0.2">
      <c r="B9" s="1" t="s">
        <v>4</v>
      </c>
      <c r="C9" s="2" t="s">
        <v>12</v>
      </c>
    </row>
    <row r="10" spans="2:3" x14ac:dyDescent="0.2">
      <c r="B10" s="1" t="s">
        <v>5</v>
      </c>
      <c r="C10" s="2" t="s">
        <v>13</v>
      </c>
    </row>
    <row r="12" spans="2:3" x14ac:dyDescent="0.2">
      <c r="B12" s="28" t="s">
        <v>14</v>
      </c>
      <c r="C12" s="28"/>
    </row>
  </sheetData>
  <mergeCells count="3">
    <mergeCell ref="B3:C3"/>
    <mergeCell ref="B2:C2"/>
    <mergeCell ref="B12: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46D5-1FE7-4643-B6D0-ABE1F6445B80}">
  <dimension ref="A1:I253"/>
  <sheetViews>
    <sheetView workbookViewId="0">
      <selection activeCellId="2" sqref="H1:H1048576 I1:I1048576 A1:A1048576"/>
    </sheetView>
  </sheetViews>
  <sheetFormatPr baseColWidth="10" defaultRowHeight="16" x14ac:dyDescent="0.2"/>
  <cols>
    <col min="1" max="1" width="10.1640625" style="4" bestFit="1" customWidth="1"/>
    <col min="2" max="5" width="11.6640625" bestFit="1" customWidth="1"/>
    <col min="6" max="6" width="9.5" customWidth="1"/>
    <col min="7" max="7" width="13.83203125" customWidth="1"/>
  </cols>
  <sheetData>
    <row r="1" spans="1:9" x14ac:dyDescent="0.2">
      <c r="A1" s="4" t="s">
        <v>0</v>
      </c>
      <c r="B1" t="s">
        <v>1</v>
      </c>
      <c r="C1" t="s">
        <v>2</v>
      </c>
      <c r="D1" t="s">
        <v>3</v>
      </c>
      <c r="E1" t="s">
        <v>4</v>
      </c>
      <c r="F1" t="s">
        <v>5</v>
      </c>
      <c r="G1" t="s">
        <v>18</v>
      </c>
      <c r="H1" t="s">
        <v>37</v>
      </c>
      <c r="I1" t="s">
        <v>38</v>
      </c>
    </row>
    <row r="2" spans="1:9" x14ac:dyDescent="0.2">
      <c r="A2" s="4">
        <v>44166</v>
      </c>
      <c r="B2">
        <v>3188.5</v>
      </c>
      <c r="C2">
        <v>3248.9499510000001</v>
      </c>
      <c r="D2">
        <v>3157.179932</v>
      </c>
      <c r="E2">
        <v>3220.080078</v>
      </c>
      <c r="F2">
        <v>4537000</v>
      </c>
      <c r="G2">
        <f>E2-B2</f>
        <v>31.580077999999958</v>
      </c>
      <c r="H2">
        <f t="shared" ref="H2:H65" si="0">F2/1000000</f>
        <v>4.5369999999999999</v>
      </c>
      <c r="I2">
        <f t="shared" ref="I2:I65" si="1">C2-D2</f>
        <v>91.770019000000048</v>
      </c>
    </row>
    <row r="3" spans="1:9" x14ac:dyDescent="0.2">
      <c r="A3" s="4">
        <v>44167</v>
      </c>
      <c r="B3">
        <v>3221.6499020000001</v>
      </c>
      <c r="C3">
        <v>3232</v>
      </c>
      <c r="D3">
        <v>3173.26001</v>
      </c>
      <c r="E3">
        <v>3203.530029</v>
      </c>
      <c r="F3">
        <v>3129300</v>
      </c>
      <c r="G3">
        <f t="shared" ref="G3:G66" si="2">E3-B3</f>
        <v>-18.119873000000098</v>
      </c>
      <c r="H3">
        <f t="shared" si="0"/>
        <v>3.1293000000000002</v>
      </c>
      <c r="I3">
        <f t="shared" si="1"/>
        <v>58.739990000000034</v>
      </c>
    </row>
    <row r="4" spans="1:9" x14ac:dyDescent="0.2">
      <c r="A4" s="4">
        <v>44168</v>
      </c>
      <c r="B4">
        <v>3205.459961</v>
      </c>
      <c r="C4">
        <v>3228.639893</v>
      </c>
      <c r="D4">
        <v>3181.3100589999999</v>
      </c>
      <c r="E4">
        <v>3186.7299800000001</v>
      </c>
      <c r="F4">
        <v>2892000</v>
      </c>
      <c r="G4">
        <f t="shared" si="2"/>
        <v>-18.729980999999952</v>
      </c>
      <c r="H4">
        <f t="shared" si="0"/>
        <v>2.8919999999999999</v>
      </c>
      <c r="I4">
        <f t="shared" si="1"/>
        <v>47.329834000000119</v>
      </c>
    </row>
    <row r="5" spans="1:9" x14ac:dyDescent="0.2">
      <c r="A5" s="4">
        <v>44169</v>
      </c>
      <c r="B5">
        <v>3198.209961</v>
      </c>
      <c r="C5">
        <v>3198.209961</v>
      </c>
      <c r="D5">
        <v>3158.76001</v>
      </c>
      <c r="E5">
        <v>3162.580078</v>
      </c>
      <c r="F5">
        <v>2913600</v>
      </c>
      <c r="G5">
        <f t="shared" si="2"/>
        <v>-35.629883000000063</v>
      </c>
      <c r="H5">
        <f t="shared" si="0"/>
        <v>2.9136000000000002</v>
      </c>
      <c r="I5">
        <f t="shared" si="1"/>
        <v>39.449951000000056</v>
      </c>
    </row>
    <row r="6" spans="1:9" x14ac:dyDescent="0.2">
      <c r="A6" s="4">
        <v>44172</v>
      </c>
      <c r="B6">
        <v>3156.4799800000001</v>
      </c>
      <c r="C6">
        <v>3180.76001</v>
      </c>
      <c r="D6">
        <v>3141.6899410000001</v>
      </c>
      <c r="E6">
        <v>3158</v>
      </c>
      <c r="F6">
        <v>2751300</v>
      </c>
      <c r="G6">
        <f t="shared" si="2"/>
        <v>1.5200199999999313</v>
      </c>
      <c r="H6">
        <f t="shared" si="0"/>
        <v>2.7513000000000001</v>
      </c>
      <c r="I6">
        <f t="shared" si="1"/>
        <v>39.070068999999876</v>
      </c>
    </row>
    <row r="7" spans="1:9" x14ac:dyDescent="0.2">
      <c r="A7" s="4">
        <v>44173</v>
      </c>
      <c r="B7">
        <v>3158.8999020000001</v>
      </c>
      <c r="C7">
        <v>3184.1298830000001</v>
      </c>
      <c r="D7">
        <v>3120.0200199999999</v>
      </c>
      <c r="E7">
        <v>3177.290039</v>
      </c>
      <c r="F7">
        <v>3286300</v>
      </c>
      <c r="G7">
        <f t="shared" si="2"/>
        <v>18.390136999999868</v>
      </c>
      <c r="H7">
        <f t="shared" si="0"/>
        <v>3.2863000000000002</v>
      </c>
      <c r="I7">
        <f t="shared" si="1"/>
        <v>64.109863000000132</v>
      </c>
    </row>
    <row r="8" spans="1:9" x14ac:dyDescent="0.2">
      <c r="A8" s="4">
        <v>44174</v>
      </c>
      <c r="B8">
        <v>3167.889893</v>
      </c>
      <c r="C8">
        <v>3174.429932</v>
      </c>
      <c r="D8">
        <v>3088</v>
      </c>
      <c r="E8">
        <v>3104.1999510000001</v>
      </c>
      <c r="F8">
        <v>4100800</v>
      </c>
      <c r="G8">
        <f t="shared" si="2"/>
        <v>-63.689941999999974</v>
      </c>
      <c r="H8">
        <f t="shared" si="0"/>
        <v>4.1007999999999996</v>
      </c>
      <c r="I8">
        <f t="shared" si="1"/>
        <v>86.429932000000008</v>
      </c>
    </row>
    <row r="9" spans="1:9" x14ac:dyDescent="0.2">
      <c r="A9" s="4">
        <v>44175</v>
      </c>
      <c r="B9">
        <v>3088.98999</v>
      </c>
      <c r="C9">
        <v>3142.1000979999999</v>
      </c>
      <c r="D9">
        <v>3076</v>
      </c>
      <c r="E9">
        <v>3101.48999</v>
      </c>
      <c r="F9">
        <v>3030200</v>
      </c>
      <c r="G9">
        <f t="shared" si="2"/>
        <v>12.5</v>
      </c>
      <c r="H9">
        <f t="shared" si="0"/>
        <v>3.0301999999999998</v>
      </c>
      <c r="I9">
        <f t="shared" si="1"/>
        <v>66.100097999999889</v>
      </c>
    </row>
    <row r="10" spans="1:9" x14ac:dyDescent="0.2">
      <c r="A10" s="4">
        <v>44176</v>
      </c>
      <c r="B10">
        <v>3096.6599120000001</v>
      </c>
      <c r="C10">
        <v>3118.669922</v>
      </c>
      <c r="D10">
        <v>3072.820068</v>
      </c>
      <c r="E10">
        <v>3116.419922</v>
      </c>
      <c r="F10">
        <v>3064700</v>
      </c>
      <c r="G10">
        <f t="shared" si="2"/>
        <v>19.760009999999966</v>
      </c>
      <c r="H10">
        <f t="shared" si="0"/>
        <v>3.0647000000000002</v>
      </c>
      <c r="I10">
        <f t="shared" si="1"/>
        <v>45.84985400000005</v>
      </c>
    </row>
    <row r="11" spans="1:9" x14ac:dyDescent="0.2">
      <c r="A11" s="4">
        <v>44179</v>
      </c>
      <c r="B11">
        <v>3143</v>
      </c>
      <c r="C11">
        <v>3190.469971</v>
      </c>
      <c r="D11">
        <v>3126</v>
      </c>
      <c r="E11">
        <v>3156.969971</v>
      </c>
      <c r="F11">
        <v>4155800</v>
      </c>
      <c r="G11">
        <f t="shared" si="2"/>
        <v>13.969970999999987</v>
      </c>
      <c r="H11">
        <f t="shared" si="0"/>
        <v>4.1558000000000002</v>
      </c>
      <c r="I11">
        <f t="shared" si="1"/>
        <v>64.469970999999987</v>
      </c>
    </row>
    <row r="12" spans="1:9" x14ac:dyDescent="0.2">
      <c r="A12" s="4">
        <v>44180</v>
      </c>
      <c r="B12">
        <v>3181.01001</v>
      </c>
      <c r="C12">
        <v>3188.5</v>
      </c>
      <c r="D12">
        <v>3130.48999</v>
      </c>
      <c r="E12">
        <v>3165.1201169999999</v>
      </c>
      <c r="F12">
        <v>3319500</v>
      </c>
      <c r="G12">
        <f t="shared" si="2"/>
        <v>-15.889893000000029</v>
      </c>
      <c r="H12">
        <f t="shared" si="0"/>
        <v>3.3195000000000001</v>
      </c>
      <c r="I12">
        <f t="shared" si="1"/>
        <v>58.010009999999966</v>
      </c>
    </row>
    <row r="13" spans="1:9" x14ac:dyDescent="0.2">
      <c r="A13" s="4">
        <v>44181</v>
      </c>
      <c r="B13">
        <v>3176.01001</v>
      </c>
      <c r="C13">
        <v>3247</v>
      </c>
      <c r="D13">
        <v>3163.679932</v>
      </c>
      <c r="E13">
        <v>3240.959961</v>
      </c>
      <c r="F13">
        <v>4427600</v>
      </c>
      <c r="G13">
        <f t="shared" si="2"/>
        <v>64.949951000000056</v>
      </c>
      <c r="H13">
        <f t="shared" si="0"/>
        <v>4.4276</v>
      </c>
      <c r="I13">
        <f t="shared" si="1"/>
        <v>83.320067999999992</v>
      </c>
    </row>
    <row r="14" spans="1:9" x14ac:dyDescent="0.2">
      <c r="A14" s="4">
        <v>44182</v>
      </c>
      <c r="B14">
        <v>3250</v>
      </c>
      <c r="C14">
        <v>3263.51001</v>
      </c>
      <c r="D14">
        <v>3221</v>
      </c>
      <c r="E14">
        <v>3236.080078</v>
      </c>
      <c r="F14">
        <v>3474300</v>
      </c>
      <c r="G14">
        <f t="shared" si="2"/>
        <v>-13.919922000000042</v>
      </c>
      <c r="H14">
        <f t="shared" si="0"/>
        <v>3.4742999999999999</v>
      </c>
      <c r="I14">
        <f t="shared" si="1"/>
        <v>42.510009999999966</v>
      </c>
    </row>
    <row r="15" spans="1:9" x14ac:dyDescent="0.2">
      <c r="A15" s="4">
        <v>44183</v>
      </c>
      <c r="B15">
        <v>3243.98999</v>
      </c>
      <c r="C15">
        <v>3249.419922</v>
      </c>
      <c r="D15">
        <v>3171.6000979999999</v>
      </c>
      <c r="E15">
        <v>3201.6499020000001</v>
      </c>
      <c r="F15">
        <v>5995700</v>
      </c>
      <c r="G15">
        <f t="shared" si="2"/>
        <v>-42.340087999999923</v>
      </c>
      <c r="H15">
        <f t="shared" si="0"/>
        <v>5.9957000000000003</v>
      </c>
      <c r="I15">
        <f t="shared" si="1"/>
        <v>77.819824000000153</v>
      </c>
    </row>
    <row r="16" spans="1:9" x14ac:dyDescent="0.2">
      <c r="A16" s="4">
        <v>44186</v>
      </c>
      <c r="B16">
        <v>3200.01001</v>
      </c>
      <c r="C16">
        <v>3226.969971</v>
      </c>
      <c r="D16">
        <v>3166</v>
      </c>
      <c r="E16">
        <v>3206.179932</v>
      </c>
      <c r="F16">
        <v>3836800</v>
      </c>
      <c r="G16">
        <f t="shared" si="2"/>
        <v>6.1699220000000423</v>
      </c>
      <c r="H16">
        <f t="shared" si="0"/>
        <v>3.8368000000000002</v>
      </c>
      <c r="I16">
        <f t="shared" si="1"/>
        <v>60.969970999999987</v>
      </c>
    </row>
    <row r="17" spans="1:9" x14ac:dyDescent="0.2">
      <c r="A17" s="4">
        <v>44187</v>
      </c>
      <c r="B17">
        <v>3202.8400879999999</v>
      </c>
      <c r="C17">
        <v>3222</v>
      </c>
      <c r="D17">
        <v>3180.080078</v>
      </c>
      <c r="E17">
        <v>3206.5200199999999</v>
      </c>
      <c r="F17">
        <v>2369400</v>
      </c>
      <c r="G17">
        <f t="shared" si="2"/>
        <v>3.679932000000008</v>
      </c>
      <c r="H17">
        <f t="shared" si="0"/>
        <v>2.3694000000000002</v>
      </c>
      <c r="I17">
        <f t="shared" si="1"/>
        <v>41.919922000000042</v>
      </c>
    </row>
    <row r="18" spans="1:9" x14ac:dyDescent="0.2">
      <c r="A18" s="4">
        <v>44188</v>
      </c>
      <c r="B18">
        <v>3205</v>
      </c>
      <c r="C18">
        <v>3210.1298830000001</v>
      </c>
      <c r="D18">
        <v>3184.169922</v>
      </c>
      <c r="E18">
        <v>3185.2700199999999</v>
      </c>
      <c r="F18">
        <v>2093800</v>
      </c>
      <c r="G18">
        <f t="shared" si="2"/>
        <v>-19.729980000000069</v>
      </c>
      <c r="H18">
        <f t="shared" si="0"/>
        <v>2.0937999999999999</v>
      </c>
      <c r="I18">
        <f t="shared" si="1"/>
        <v>25.959961000000021</v>
      </c>
    </row>
    <row r="19" spans="1:9" x14ac:dyDescent="0.2">
      <c r="A19" s="4">
        <v>44189</v>
      </c>
      <c r="B19">
        <v>3193.8999020000001</v>
      </c>
      <c r="C19">
        <v>3202</v>
      </c>
      <c r="D19">
        <v>3169</v>
      </c>
      <c r="E19">
        <v>3172.6899410000001</v>
      </c>
      <c r="F19">
        <v>1451900</v>
      </c>
      <c r="G19">
        <f t="shared" si="2"/>
        <v>-21.209961000000021</v>
      </c>
      <c r="H19">
        <f t="shared" si="0"/>
        <v>1.4519</v>
      </c>
      <c r="I19">
        <f t="shared" si="1"/>
        <v>33</v>
      </c>
    </row>
    <row r="20" spans="1:9" x14ac:dyDescent="0.2">
      <c r="A20" s="4">
        <v>44193</v>
      </c>
      <c r="B20">
        <v>3194</v>
      </c>
      <c r="C20">
        <v>3304</v>
      </c>
      <c r="D20">
        <v>3172.6899410000001</v>
      </c>
      <c r="E20">
        <v>3283.959961</v>
      </c>
      <c r="F20">
        <v>5686800</v>
      </c>
      <c r="G20">
        <f t="shared" si="2"/>
        <v>89.959961000000021</v>
      </c>
      <c r="H20">
        <f t="shared" si="0"/>
        <v>5.6867999999999999</v>
      </c>
      <c r="I20">
        <f t="shared" si="1"/>
        <v>131.31005899999991</v>
      </c>
    </row>
    <row r="21" spans="1:9" x14ac:dyDescent="0.2">
      <c r="A21" s="4">
        <v>44194</v>
      </c>
      <c r="B21">
        <v>3309.9399410000001</v>
      </c>
      <c r="C21">
        <v>3350.6499020000001</v>
      </c>
      <c r="D21">
        <v>3281.219971</v>
      </c>
      <c r="E21">
        <v>3322</v>
      </c>
      <c r="F21">
        <v>4872900</v>
      </c>
      <c r="G21">
        <f t="shared" si="2"/>
        <v>12.06005899999991</v>
      </c>
      <c r="H21">
        <f t="shared" si="0"/>
        <v>4.8728999999999996</v>
      </c>
      <c r="I21">
        <f t="shared" si="1"/>
        <v>69.429931000000124</v>
      </c>
    </row>
    <row r="22" spans="1:9" x14ac:dyDescent="0.2">
      <c r="A22" s="4">
        <v>44195</v>
      </c>
      <c r="B22">
        <v>3341</v>
      </c>
      <c r="C22">
        <v>3342.1000979999999</v>
      </c>
      <c r="D22">
        <v>3282.469971</v>
      </c>
      <c r="E22">
        <v>3285.8500979999999</v>
      </c>
      <c r="F22">
        <v>3209300</v>
      </c>
      <c r="G22">
        <f t="shared" si="2"/>
        <v>-55.149902000000111</v>
      </c>
      <c r="H22">
        <f t="shared" si="0"/>
        <v>3.2092999999999998</v>
      </c>
      <c r="I22">
        <f t="shared" si="1"/>
        <v>59.630126999999902</v>
      </c>
    </row>
    <row r="23" spans="1:9" x14ac:dyDescent="0.2">
      <c r="A23" s="4">
        <v>44196</v>
      </c>
      <c r="B23">
        <v>3275</v>
      </c>
      <c r="C23">
        <v>3282.919922</v>
      </c>
      <c r="D23">
        <v>3241.1999510000001</v>
      </c>
      <c r="E23">
        <v>3256.929932</v>
      </c>
      <c r="F23">
        <v>2957200</v>
      </c>
      <c r="G23">
        <f t="shared" si="2"/>
        <v>-18.070067999999992</v>
      </c>
      <c r="H23">
        <f t="shared" si="0"/>
        <v>2.9571999999999998</v>
      </c>
      <c r="I23">
        <f t="shared" si="1"/>
        <v>41.719970999999987</v>
      </c>
    </row>
    <row r="24" spans="1:9" x14ac:dyDescent="0.2">
      <c r="A24" s="4">
        <v>44200</v>
      </c>
      <c r="B24">
        <v>3270</v>
      </c>
      <c r="C24">
        <v>3272</v>
      </c>
      <c r="D24">
        <v>3144.0200199999999</v>
      </c>
      <c r="E24">
        <v>3186.6298830000001</v>
      </c>
      <c r="F24">
        <v>4411400</v>
      </c>
      <c r="G24">
        <f t="shared" si="2"/>
        <v>-83.370116999999937</v>
      </c>
      <c r="H24">
        <f t="shared" si="0"/>
        <v>4.4114000000000004</v>
      </c>
      <c r="I24">
        <f t="shared" si="1"/>
        <v>127.97998000000007</v>
      </c>
    </row>
    <row r="25" spans="1:9" x14ac:dyDescent="0.2">
      <c r="A25" s="4">
        <v>44201</v>
      </c>
      <c r="B25">
        <v>3166.01001</v>
      </c>
      <c r="C25">
        <v>3223.3798830000001</v>
      </c>
      <c r="D25">
        <v>3165.0600589999999</v>
      </c>
      <c r="E25">
        <v>3218.51001</v>
      </c>
      <c r="F25">
        <v>2655500</v>
      </c>
      <c r="G25">
        <f t="shared" si="2"/>
        <v>52.5</v>
      </c>
      <c r="H25">
        <f t="shared" si="0"/>
        <v>2.6555</v>
      </c>
      <c r="I25">
        <f t="shared" si="1"/>
        <v>58.319824000000153</v>
      </c>
    </row>
    <row r="26" spans="1:9" x14ac:dyDescent="0.2">
      <c r="A26" s="4">
        <v>44202</v>
      </c>
      <c r="B26">
        <v>3146.4799800000001</v>
      </c>
      <c r="C26">
        <v>3197.51001</v>
      </c>
      <c r="D26">
        <v>3131.1599120000001</v>
      </c>
      <c r="E26">
        <v>3138.3798830000001</v>
      </c>
      <c r="F26">
        <v>4394800</v>
      </c>
      <c r="G26">
        <f t="shared" si="2"/>
        <v>-8.1000970000000052</v>
      </c>
      <c r="H26">
        <f t="shared" si="0"/>
        <v>4.3948</v>
      </c>
      <c r="I26">
        <f t="shared" si="1"/>
        <v>66.350097999999889</v>
      </c>
    </row>
    <row r="27" spans="1:9" x14ac:dyDescent="0.2">
      <c r="A27" s="4">
        <v>44203</v>
      </c>
      <c r="B27">
        <v>3157</v>
      </c>
      <c r="C27">
        <v>3208.540039</v>
      </c>
      <c r="D27">
        <v>3155</v>
      </c>
      <c r="E27">
        <v>3162.1599120000001</v>
      </c>
      <c r="F27">
        <v>3514500</v>
      </c>
      <c r="G27">
        <f t="shared" si="2"/>
        <v>5.1599120000000767</v>
      </c>
      <c r="H27">
        <f t="shared" si="0"/>
        <v>3.5145</v>
      </c>
      <c r="I27">
        <f t="shared" si="1"/>
        <v>53.540038999999979</v>
      </c>
    </row>
    <row r="28" spans="1:9" x14ac:dyDescent="0.2">
      <c r="A28" s="4">
        <v>44204</v>
      </c>
      <c r="B28">
        <v>3180</v>
      </c>
      <c r="C28">
        <v>3190.639893</v>
      </c>
      <c r="D28">
        <v>3142.1999510000001</v>
      </c>
      <c r="E28">
        <v>3182.6999510000001</v>
      </c>
      <c r="F28">
        <v>3537700</v>
      </c>
      <c r="G28">
        <f t="shared" si="2"/>
        <v>2.6999510000000555</v>
      </c>
      <c r="H28">
        <f t="shared" si="0"/>
        <v>3.5377000000000001</v>
      </c>
      <c r="I28">
        <f t="shared" si="1"/>
        <v>48.439941999999974</v>
      </c>
    </row>
    <row r="29" spans="1:9" x14ac:dyDescent="0.2">
      <c r="A29" s="4">
        <v>44207</v>
      </c>
      <c r="B29">
        <v>3148.01001</v>
      </c>
      <c r="C29">
        <v>3156.3798830000001</v>
      </c>
      <c r="D29">
        <v>3110</v>
      </c>
      <c r="E29">
        <v>3114.209961</v>
      </c>
      <c r="F29">
        <v>3683400</v>
      </c>
      <c r="G29">
        <f t="shared" si="2"/>
        <v>-33.800048999999944</v>
      </c>
      <c r="H29">
        <f t="shared" si="0"/>
        <v>3.6833999999999998</v>
      </c>
      <c r="I29">
        <f t="shared" si="1"/>
        <v>46.379883000000063</v>
      </c>
    </row>
    <row r="30" spans="1:9" x14ac:dyDescent="0.2">
      <c r="A30" s="4">
        <v>44208</v>
      </c>
      <c r="B30">
        <v>3120</v>
      </c>
      <c r="C30">
        <v>3142.139893</v>
      </c>
      <c r="D30">
        <v>3086</v>
      </c>
      <c r="E30">
        <v>3120.830078</v>
      </c>
      <c r="F30">
        <v>3514600</v>
      </c>
      <c r="G30">
        <f t="shared" si="2"/>
        <v>0.83007799999995768</v>
      </c>
      <c r="H30">
        <f t="shared" si="0"/>
        <v>3.5146000000000002</v>
      </c>
      <c r="I30">
        <f t="shared" si="1"/>
        <v>56.139893000000029</v>
      </c>
    </row>
    <row r="31" spans="1:9" x14ac:dyDescent="0.2">
      <c r="A31" s="4">
        <v>44209</v>
      </c>
      <c r="B31">
        <v>3128.4399410000001</v>
      </c>
      <c r="C31">
        <v>3189.9499510000001</v>
      </c>
      <c r="D31">
        <v>3122.080078</v>
      </c>
      <c r="E31">
        <v>3165.889893</v>
      </c>
      <c r="F31">
        <v>3321200</v>
      </c>
      <c r="G31">
        <f t="shared" si="2"/>
        <v>37.449951999999939</v>
      </c>
      <c r="H31">
        <f t="shared" si="0"/>
        <v>3.3212000000000002</v>
      </c>
      <c r="I31">
        <f t="shared" si="1"/>
        <v>67.869873000000098</v>
      </c>
    </row>
    <row r="32" spans="1:9" x14ac:dyDescent="0.2">
      <c r="A32" s="4">
        <v>44210</v>
      </c>
      <c r="B32">
        <v>3167.5200199999999</v>
      </c>
      <c r="C32">
        <v>3178</v>
      </c>
      <c r="D32">
        <v>3120.5900879999999</v>
      </c>
      <c r="E32">
        <v>3127.469971</v>
      </c>
      <c r="F32">
        <v>3070900</v>
      </c>
      <c r="G32">
        <f t="shared" si="2"/>
        <v>-40.050048999999944</v>
      </c>
      <c r="H32">
        <f t="shared" si="0"/>
        <v>3.0709</v>
      </c>
      <c r="I32">
        <f t="shared" si="1"/>
        <v>57.409912000000077</v>
      </c>
    </row>
    <row r="33" spans="1:9" x14ac:dyDescent="0.2">
      <c r="A33" s="4">
        <v>44211</v>
      </c>
      <c r="B33">
        <v>3123.0200199999999</v>
      </c>
      <c r="C33">
        <v>3142.5500489999999</v>
      </c>
      <c r="D33">
        <v>3095.169922</v>
      </c>
      <c r="E33">
        <v>3104.25</v>
      </c>
      <c r="F33">
        <v>4244000</v>
      </c>
      <c r="G33">
        <f t="shared" si="2"/>
        <v>-18.770019999999931</v>
      </c>
      <c r="H33">
        <f t="shared" si="0"/>
        <v>4.2439999999999998</v>
      </c>
      <c r="I33">
        <f t="shared" si="1"/>
        <v>47.380126999999902</v>
      </c>
    </row>
    <row r="34" spans="1:9" x14ac:dyDescent="0.2">
      <c r="A34" s="4">
        <v>44215</v>
      </c>
      <c r="B34">
        <v>3107</v>
      </c>
      <c r="C34">
        <v>3145</v>
      </c>
      <c r="D34">
        <v>3096</v>
      </c>
      <c r="E34">
        <v>3120.76001</v>
      </c>
      <c r="F34">
        <v>3305100</v>
      </c>
      <c r="G34">
        <f t="shared" si="2"/>
        <v>13.760009999999966</v>
      </c>
      <c r="H34">
        <f t="shared" si="0"/>
        <v>3.3050999999999999</v>
      </c>
      <c r="I34">
        <f t="shared" si="1"/>
        <v>49</v>
      </c>
    </row>
    <row r="35" spans="1:9" x14ac:dyDescent="0.2">
      <c r="A35" s="4">
        <v>44216</v>
      </c>
      <c r="B35">
        <v>3181.98999</v>
      </c>
      <c r="C35">
        <v>3279.8000489999999</v>
      </c>
      <c r="D35">
        <v>3175</v>
      </c>
      <c r="E35">
        <v>3263.3798830000001</v>
      </c>
      <c r="F35">
        <v>5309800</v>
      </c>
      <c r="G35">
        <f t="shared" si="2"/>
        <v>81.389893000000029</v>
      </c>
      <c r="H35">
        <f t="shared" si="0"/>
        <v>5.3098000000000001</v>
      </c>
      <c r="I35">
        <f t="shared" si="1"/>
        <v>104.80004899999994</v>
      </c>
    </row>
    <row r="36" spans="1:9" x14ac:dyDescent="0.2">
      <c r="A36" s="4">
        <v>44217</v>
      </c>
      <c r="B36">
        <v>3293</v>
      </c>
      <c r="C36">
        <v>3348.5500489999999</v>
      </c>
      <c r="D36">
        <v>3289.570068</v>
      </c>
      <c r="E36">
        <v>3306.98999</v>
      </c>
      <c r="F36">
        <v>4936100</v>
      </c>
      <c r="G36">
        <f t="shared" si="2"/>
        <v>13.989990000000034</v>
      </c>
      <c r="H36">
        <f t="shared" si="0"/>
        <v>4.9360999999999997</v>
      </c>
      <c r="I36">
        <f t="shared" si="1"/>
        <v>58.979980999999952</v>
      </c>
    </row>
    <row r="37" spans="1:9" x14ac:dyDescent="0.2">
      <c r="A37" s="4">
        <v>44218</v>
      </c>
      <c r="B37">
        <v>3304.3100589999999</v>
      </c>
      <c r="C37">
        <v>3321.9099120000001</v>
      </c>
      <c r="D37">
        <v>3283.1599120000001</v>
      </c>
      <c r="E37">
        <v>3292.2299800000001</v>
      </c>
      <c r="F37">
        <v>2821900</v>
      </c>
      <c r="G37">
        <f t="shared" si="2"/>
        <v>-12.080078999999841</v>
      </c>
      <c r="H37">
        <f t="shared" si="0"/>
        <v>2.8218999999999999</v>
      </c>
      <c r="I37">
        <f t="shared" si="1"/>
        <v>38.75</v>
      </c>
    </row>
    <row r="38" spans="1:9" x14ac:dyDescent="0.2">
      <c r="A38" s="4">
        <v>44221</v>
      </c>
      <c r="B38">
        <v>3328.5</v>
      </c>
      <c r="C38">
        <v>3363.889893</v>
      </c>
      <c r="D38">
        <v>3243.1499020000001</v>
      </c>
      <c r="E38">
        <v>3294</v>
      </c>
      <c r="F38">
        <v>3749800</v>
      </c>
      <c r="G38">
        <f t="shared" si="2"/>
        <v>-34.5</v>
      </c>
      <c r="H38">
        <f t="shared" si="0"/>
        <v>3.7498</v>
      </c>
      <c r="I38">
        <f t="shared" si="1"/>
        <v>120.73999099999992</v>
      </c>
    </row>
    <row r="39" spans="1:9" x14ac:dyDescent="0.2">
      <c r="A39" s="4">
        <v>44222</v>
      </c>
      <c r="B39">
        <v>3296.360107</v>
      </c>
      <c r="C39">
        <v>3338</v>
      </c>
      <c r="D39">
        <v>3282.8701169999999</v>
      </c>
      <c r="E39">
        <v>3326.1298830000001</v>
      </c>
      <c r="F39">
        <v>2955200</v>
      </c>
      <c r="G39">
        <f t="shared" si="2"/>
        <v>29.769776000000093</v>
      </c>
      <c r="H39">
        <f t="shared" si="0"/>
        <v>2.9552</v>
      </c>
      <c r="I39">
        <f t="shared" si="1"/>
        <v>55.129883000000063</v>
      </c>
    </row>
    <row r="40" spans="1:9" x14ac:dyDescent="0.2">
      <c r="A40" s="4">
        <v>44223</v>
      </c>
      <c r="B40">
        <v>3341.48999</v>
      </c>
      <c r="C40">
        <v>3346.5200199999999</v>
      </c>
      <c r="D40">
        <v>3207.080078</v>
      </c>
      <c r="E40">
        <v>3232.580078</v>
      </c>
      <c r="F40">
        <v>4660200</v>
      </c>
      <c r="G40">
        <f t="shared" si="2"/>
        <v>-108.90991200000008</v>
      </c>
      <c r="H40">
        <f t="shared" si="0"/>
        <v>4.6601999999999997</v>
      </c>
      <c r="I40">
        <f t="shared" si="1"/>
        <v>139.43994199999997</v>
      </c>
    </row>
    <row r="41" spans="1:9" x14ac:dyDescent="0.2">
      <c r="A41" s="4">
        <v>44224</v>
      </c>
      <c r="B41">
        <v>3235.040039</v>
      </c>
      <c r="C41">
        <v>3301.679932</v>
      </c>
      <c r="D41">
        <v>3228.6899410000001</v>
      </c>
      <c r="E41">
        <v>3237.6201169999999</v>
      </c>
      <c r="F41">
        <v>3149200</v>
      </c>
      <c r="G41">
        <f t="shared" si="2"/>
        <v>2.5800779999999577</v>
      </c>
      <c r="H41">
        <f t="shared" si="0"/>
        <v>3.1492</v>
      </c>
      <c r="I41">
        <f t="shared" si="1"/>
        <v>72.989990999999918</v>
      </c>
    </row>
    <row r="42" spans="1:9" x14ac:dyDescent="0.2">
      <c r="A42" s="4">
        <v>44225</v>
      </c>
      <c r="B42">
        <v>3230</v>
      </c>
      <c r="C42">
        <v>3236.98999</v>
      </c>
      <c r="D42">
        <v>3184.5500489999999</v>
      </c>
      <c r="E42">
        <v>3206.1999510000001</v>
      </c>
      <c r="F42">
        <v>4293600</v>
      </c>
      <c r="G42">
        <f t="shared" si="2"/>
        <v>-23.800048999999944</v>
      </c>
      <c r="H42">
        <f t="shared" si="0"/>
        <v>4.2935999999999996</v>
      </c>
      <c r="I42">
        <f t="shared" si="1"/>
        <v>52.43994100000009</v>
      </c>
    </row>
    <row r="43" spans="1:9" x14ac:dyDescent="0.2">
      <c r="A43" s="4">
        <v>44228</v>
      </c>
      <c r="B43">
        <v>3242.360107</v>
      </c>
      <c r="C43">
        <v>3350.26001</v>
      </c>
      <c r="D43">
        <v>3235.030029</v>
      </c>
      <c r="E43">
        <v>3342.8798830000001</v>
      </c>
      <c r="F43">
        <v>4160200</v>
      </c>
      <c r="G43">
        <f t="shared" si="2"/>
        <v>100.51977600000009</v>
      </c>
      <c r="H43">
        <f t="shared" si="0"/>
        <v>4.1601999999999997</v>
      </c>
      <c r="I43">
        <f t="shared" si="1"/>
        <v>115.22998099999995</v>
      </c>
    </row>
    <row r="44" spans="1:9" x14ac:dyDescent="0.2">
      <c r="A44" s="4">
        <v>44229</v>
      </c>
      <c r="B44">
        <v>3380</v>
      </c>
      <c r="C44">
        <v>3427.73999</v>
      </c>
      <c r="D44">
        <v>3361.1298830000001</v>
      </c>
      <c r="E44">
        <v>3380</v>
      </c>
      <c r="F44">
        <v>7098600</v>
      </c>
      <c r="G44">
        <f t="shared" si="2"/>
        <v>0</v>
      </c>
      <c r="H44">
        <f t="shared" si="0"/>
        <v>7.0986000000000002</v>
      </c>
      <c r="I44">
        <f t="shared" si="1"/>
        <v>66.610106999999971</v>
      </c>
    </row>
    <row r="45" spans="1:9" x14ac:dyDescent="0.2">
      <c r="A45" s="4">
        <v>44230</v>
      </c>
      <c r="B45">
        <v>3425.01001</v>
      </c>
      <c r="C45">
        <v>3434</v>
      </c>
      <c r="D45">
        <v>3308.6201169999999</v>
      </c>
      <c r="E45">
        <v>3312.530029</v>
      </c>
      <c r="F45">
        <v>7088800</v>
      </c>
      <c r="G45">
        <f t="shared" si="2"/>
        <v>-112.47998099999995</v>
      </c>
      <c r="H45">
        <f t="shared" si="0"/>
        <v>7.0888</v>
      </c>
      <c r="I45">
        <f t="shared" si="1"/>
        <v>125.37988300000006</v>
      </c>
    </row>
    <row r="46" spans="1:9" x14ac:dyDescent="0.2">
      <c r="A46" s="4">
        <v>44231</v>
      </c>
      <c r="B46">
        <v>3330</v>
      </c>
      <c r="C46">
        <v>3347</v>
      </c>
      <c r="D46">
        <v>3277.75</v>
      </c>
      <c r="E46">
        <v>3331</v>
      </c>
      <c r="F46">
        <v>3670700</v>
      </c>
      <c r="G46">
        <f t="shared" si="2"/>
        <v>1</v>
      </c>
      <c r="H46">
        <f t="shared" si="0"/>
        <v>3.6707000000000001</v>
      </c>
      <c r="I46">
        <f t="shared" si="1"/>
        <v>69.25</v>
      </c>
    </row>
    <row r="47" spans="1:9" x14ac:dyDescent="0.2">
      <c r="A47" s="4">
        <v>44232</v>
      </c>
      <c r="B47">
        <v>3319</v>
      </c>
      <c r="C47">
        <v>3377</v>
      </c>
      <c r="D47">
        <v>3302.709961</v>
      </c>
      <c r="E47">
        <v>3352.1499020000001</v>
      </c>
      <c r="F47">
        <v>3620800</v>
      </c>
      <c r="G47">
        <f t="shared" si="2"/>
        <v>33.149902000000111</v>
      </c>
      <c r="H47">
        <f t="shared" si="0"/>
        <v>3.6208</v>
      </c>
      <c r="I47">
        <f t="shared" si="1"/>
        <v>74.290038999999979</v>
      </c>
    </row>
    <row r="48" spans="1:9" x14ac:dyDescent="0.2">
      <c r="A48" s="4">
        <v>44235</v>
      </c>
      <c r="B48">
        <v>3358.5</v>
      </c>
      <c r="C48">
        <v>3365</v>
      </c>
      <c r="D48">
        <v>3304</v>
      </c>
      <c r="E48">
        <v>3322.9399410000001</v>
      </c>
      <c r="F48">
        <v>3257400</v>
      </c>
      <c r="G48">
        <f t="shared" si="2"/>
        <v>-35.56005899999991</v>
      </c>
      <c r="H48">
        <f t="shared" si="0"/>
        <v>3.2574000000000001</v>
      </c>
      <c r="I48">
        <f t="shared" si="1"/>
        <v>61</v>
      </c>
    </row>
    <row r="49" spans="1:9" x14ac:dyDescent="0.2">
      <c r="A49" s="4">
        <v>44236</v>
      </c>
      <c r="B49">
        <v>3312.48999</v>
      </c>
      <c r="C49">
        <v>3338</v>
      </c>
      <c r="D49">
        <v>3297.8400879999999</v>
      </c>
      <c r="E49">
        <v>3305</v>
      </c>
      <c r="F49">
        <v>2203500</v>
      </c>
      <c r="G49">
        <f t="shared" si="2"/>
        <v>-7.4899900000000343</v>
      </c>
      <c r="H49">
        <f t="shared" si="0"/>
        <v>2.2035</v>
      </c>
      <c r="I49">
        <f t="shared" si="1"/>
        <v>40.159912000000077</v>
      </c>
    </row>
    <row r="50" spans="1:9" x14ac:dyDescent="0.2">
      <c r="A50" s="4">
        <v>44237</v>
      </c>
      <c r="B50">
        <v>3314</v>
      </c>
      <c r="C50">
        <v>3317.9499510000001</v>
      </c>
      <c r="D50">
        <v>3254</v>
      </c>
      <c r="E50">
        <v>3286.580078</v>
      </c>
      <c r="F50">
        <v>3151600</v>
      </c>
      <c r="G50">
        <f t="shared" si="2"/>
        <v>-27.419922000000042</v>
      </c>
      <c r="H50">
        <f t="shared" si="0"/>
        <v>3.1516000000000002</v>
      </c>
      <c r="I50">
        <f t="shared" si="1"/>
        <v>63.949951000000056</v>
      </c>
    </row>
    <row r="51" spans="1:9" x14ac:dyDescent="0.2">
      <c r="A51" s="4">
        <v>44238</v>
      </c>
      <c r="B51">
        <v>3292</v>
      </c>
      <c r="C51">
        <v>3292</v>
      </c>
      <c r="D51">
        <v>3248.0600589999999</v>
      </c>
      <c r="E51">
        <v>3262.1298830000001</v>
      </c>
      <c r="F51">
        <v>2301400</v>
      </c>
      <c r="G51">
        <f t="shared" si="2"/>
        <v>-29.870116999999937</v>
      </c>
      <c r="H51">
        <f t="shared" si="0"/>
        <v>2.3014000000000001</v>
      </c>
      <c r="I51">
        <f t="shared" si="1"/>
        <v>43.93994100000009</v>
      </c>
    </row>
    <row r="52" spans="1:9" x14ac:dyDescent="0.2">
      <c r="A52" s="4">
        <v>44239</v>
      </c>
      <c r="B52">
        <v>3250</v>
      </c>
      <c r="C52">
        <v>3280.25</v>
      </c>
      <c r="D52">
        <v>3233.3100589999999</v>
      </c>
      <c r="E52">
        <v>3277.709961</v>
      </c>
      <c r="F52">
        <v>2335300</v>
      </c>
      <c r="G52">
        <f t="shared" si="2"/>
        <v>27.709961000000021</v>
      </c>
      <c r="H52">
        <f t="shared" si="0"/>
        <v>2.3353000000000002</v>
      </c>
      <c r="I52">
        <f t="shared" si="1"/>
        <v>46.93994100000009</v>
      </c>
    </row>
    <row r="53" spans="1:9" x14ac:dyDescent="0.2">
      <c r="A53" s="4">
        <v>44243</v>
      </c>
      <c r="B53">
        <v>3254.0500489999999</v>
      </c>
      <c r="C53">
        <v>3308.3000489999999</v>
      </c>
      <c r="D53">
        <v>3253.5900879999999</v>
      </c>
      <c r="E53">
        <v>3268.9499510000001</v>
      </c>
      <c r="F53">
        <v>2574700</v>
      </c>
      <c r="G53">
        <f t="shared" si="2"/>
        <v>14.899902000000111</v>
      </c>
      <c r="H53">
        <f t="shared" si="0"/>
        <v>2.5747</v>
      </c>
      <c r="I53">
        <f t="shared" si="1"/>
        <v>54.709961000000021</v>
      </c>
    </row>
    <row r="54" spans="1:9" x14ac:dyDescent="0.2">
      <c r="A54" s="4">
        <v>44244</v>
      </c>
      <c r="B54">
        <v>3263.6000979999999</v>
      </c>
      <c r="C54">
        <v>3320.9099120000001</v>
      </c>
      <c r="D54">
        <v>3259.5</v>
      </c>
      <c r="E54">
        <v>3308.639893</v>
      </c>
      <c r="F54">
        <v>3297500</v>
      </c>
      <c r="G54">
        <f t="shared" si="2"/>
        <v>45.03979500000014</v>
      </c>
      <c r="H54">
        <f t="shared" si="0"/>
        <v>3.2974999999999999</v>
      </c>
      <c r="I54">
        <f t="shared" si="1"/>
        <v>61.409912000000077</v>
      </c>
    </row>
    <row r="55" spans="1:9" x14ac:dyDescent="0.2">
      <c r="A55" s="4">
        <v>44245</v>
      </c>
      <c r="B55">
        <v>3282.419922</v>
      </c>
      <c r="C55">
        <v>3338</v>
      </c>
      <c r="D55">
        <v>3273.9399410000001</v>
      </c>
      <c r="E55">
        <v>3328.2299800000001</v>
      </c>
      <c r="F55">
        <v>3027400</v>
      </c>
      <c r="G55">
        <f t="shared" si="2"/>
        <v>45.810058000000026</v>
      </c>
      <c r="H55">
        <f t="shared" si="0"/>
        <v>3.0274000000000001</v>
      </c>
      <c r="I55">
        <f t="shared" si="1"/>
        <v>64.06005899999991</v>
      </c>
    </row>
    <row r="56" spans="1:9" x14ac:dyDescent="0.2">
      <c r="A56" s="4">
        <v>44246</v>
      </c>
      <c r="B56">
        <v>3328.2299800000001</v>
      </c>
      <c r="C56">
        <v>3333.5</v>
      </c>
      <c r="D56">
        <v>3245.75</v>
      </c>
      <c r="E56">
        <v>3249.8999020000001</v>
      </c>
      <c r="F56">
        <v>4305200</v>
      </c>
      <c r="G56">
        <f t="shared" si="2"/>
        <v>-78.330077999999958</v>
      </c>
      <c r="H56">
        <f t="shared" si="0"/>
        <v>4.3052000000000001</v>
      </c>
      <c r="I56">
        <f t="shared" si="1"/>
        <v>87.75</v>
      </c>
    </row>
    <row r="57" spans="1:9" x14ac:dyDescent="0.2">
      <c r="A57" s="4">
        <v>44249</v>
      </c>
      <c r="B57">
        <v>3208.1298830000001</v>
      </c>
      <c r="C57">
        <v>3232.320068</v>
      </c>
      <c r="D57">
        <v>3172.26001</v>
      </c>
      <c r="E57">
        <v>3180.73999</v>
      </c>
      <c r="F57">
        <v>3515700</v>
      </c>
      <c r="G57">
        <f t="shared" si="2"/>
        <v>-27.389893000000029</v>
      </c>
      <c r="H57">
        <f t="shared" si="0"/>
        <v>3.5156999999999998</v>
      </c>
      <c r="I57">
        <f t="shared" si="1"/>
        <v>60.060058000000026</v>
      </c>
    </row>
    <row r="58" spans="1:9" x14ac:dyDescent="0.2">
      <c r="A58" s="4">
        <v>44250</v>
      </c>
      <c r="B58">
        <v>3127.030029</v>
      </c>
      <c r="C58">
        <v>3204.7299800000001</v>
      </c>
      <c r="D58">
        <v>3093.6000979999999</v>
      </c>
      <c r="E58">
        <v>3194.5</v>
      </c>
      <c r="F58">
        <v>4677200</v>
      </c>
      <c r="G58">
        <f t="shared" si="2"/>
        <v>67.469970999999987</v>
      </c>
      <c r="H58">
        <f t="shared" si="0"/>
        <v>4.6772</v>
      </c>
      <c r="I58">
        <f t="shared" si="1"/>
        <v>111.12988200000018</v>
      </c>
    </row>
    <row r="59" spans="1:9" x14ac:dyDescent="0.2">
      <c r="A59" s="4">
        <v>44251</v>
      </c>
      <c r="B59">
        <v>3166.75</v>
      </c>
      <c r="C59">
        <v>3171.2299800000001</v>
      </c>
      <c r="D59">
        <v>3125.3798830000001</v>
      </c>
      <c r="E59">
        <v>3159.530029</v>
      </c>
      <c r="F59">
        <v>3011300</v>
      </c>
      <c r="G59">
        <f t="shared" si="2"/>
        <v>-7.2199709999999868</v>
      </c>
      <c r="H59">
        <f t="shared" si="0"/>
        <v>3.0112999999999999</v>
      </c>
      <c r="I59">
        <f t="shared" si="1"/>
        <v>45.850097000000005</v>
      </c>
    </row>
    <row r="60" spans="1:9" x14ac:dyDescent="0.2">
      <c r="A60" s="4">
        <v>44252</v>
      </c>
      <c r="B60">
        <v>3136.73999</v>
      </c>
      <c r="C60">
        <v>3178.26001</v>
      </c>
      <c r="D60">
        <v>3047.76001</v>
      </c>
      <c r="E60">
        <v>3057.1599120000001</v>
      </c>
      <c r="F60">
        <v>4533800</v>
      </c>
      <c r="G60">
        <f t="shared" si="2"/>
        <v>-79.580077999999958</v>
      </c>
      <c r="H60">
        <f t="shared" si="0"/>
        <v>4.5338000000000003</v>
      </c>
      <c r="I60">
        <f t="shared" si="1"/>
        <v>130.5</v>
      </c>
    </row>
    <row r="61" spans="1:9" x14ac:dyDescent="0.2">
      <c r="A61" s="4">
        <v>44253</v>
      </c>
      <c r="B61">
        <v>3095.1999510000001</v>
      </c>
      <c r="C61">
        <v>3122.4399410000001</v>
      </c>
      <c r="D61">
        <v>3036.6999510000001</v>
      </c>
      <c r="E61">
        <v>3092.929932</v>
      </c>
      <c r="F61">
        <v>4275900</v>
      </c>
      <c r="G61">
        <f t="shared" si="2"/>
        <v>-2.2700190000000475</v>
      </c>
      <c r="H61">
        <f t="shared" si="0"/>
        <v>4.2759</v>
      </c>
      <c r="I61">
        <f t="shared" si="1"/>
        <v>85.739990000000034</v>
      </c>
    </row>
    <row r="62" spans="1:9" x14ac:dyDescent="0.2">
      <c r="A62" s="4">
        <v>44256</v>
      </c>
      <c r="B62">
        <v>3127.889893</v>
      </c>
      <c r="C62">
        <v>3149.5600589999999</v>
      </c>
      <c r="D62">
        <v>3097.98999</v>
      </c>
      <c r="E62">
        <v>3146.139893</v>
      </c>
      <c r="F62">
        <v>2729100</v>
      </c>
      <c r="G62">
        <f t="shared" si="2"/>
        <v>18.25</v>
      </c>
      <c r="H62">
        <f t="shared" si="0"/>
        <v>2.7290999999999999</v>
      </c>
      <c r="I62">
        <f t="shared" si="1"/>
        <v>51.570068999999876</v>
      </c>
    </row>
    <row r="63" spans="1:9" x14ac:dyDescent="0.2">
      <c r="A63" s="4">
        <v>44257</v>
      </c>
      <c r="B63">
        <v>3143.469971</v>
      </c>
      <c r="C63">
        <v>3163.5200199999999</v>
      </c>
      <c r="D63">
        <v>3087.1201169999999</v>
      </c>
      <c r="E63">
        <v>3094.530029</v>
      </c>
      <c r="F63">
        <v>2595800</v>
      </c>
      <c r="G63">
        <f t="shared" si="2"/>
        <v>-48.939941999999974</v>
      </c>
      <c r="H63">
        <f t="shared" si="0"/>
        <v>2.5958000000000001</v>
      </c>
      <c r="I63">
        <f t="shared" si="1"/>
        <v>76.399902999999995</v>
      </c>
    </row>
    <row r="64" spans="1:9" x14ac:dyDescent="0.2">
      <c r="A64" s="4">
        <v>44258</v>
      </c>
      <c r="B64">
        <v>3081.179932</v>
      </c>
      <c r="C64">
        <v>3107.780029</v>
      </c>
      <c r="D64">
        <v>2995</v>
      </c>
      <c r="E64">
        <v>3005</v>
      </c>
      <c r="F64">
        <v>3988700</v>
      </c>
      <c r="G64">
        <f t="shared" si="2"/>
        <v>-76.179932000000008</v>
      </c>
      <c r="H64">
        <f t="shared" si="0"/>
        <v>3.9887000000000001</v>
      </c>
      <c r="I64">
        <f t="shared" si="1"/>
        <v>112.78002900000001</v>
      </c>
    </row>
    <row r="65" spans="1:9" x14ac:dyDescent="0.2">
      <c r="A65" s="4">
        <v>44259</v>
      </c>
      <c r="B65">
        <v>3012</v>
      </c>
      <c r="C65">
        <v>3058.1298830000001</v>
      </c>
      <c r="D65">
        <v>2945.429932</v>
      </c>
      <c r="E65">
        <v>2977.570068</v>
      </c>
      <c r="F65">
        <v>5481600</v>
      </c>
      <c r="G65">
        <f t="shared" si="2"/>
        <v>-34.429932000000008</v>
      </c>
      <c r="H65">
        <f t="shared" si="0"/>
        <v>5.4816000000000003</v>
      </c>
      <c r="I65">
        <f t="shared" si="1"/>
        <v>112.69995100000006</v>
      </c>
    </row>
    <row r="66" spans="1:9" x14ac:dyDescent="0.2">
      <c r="A66" s="4">
        <v>44260</v>
      </c>
      <c r="B66">
        <v>3005</v>
      </c>
      <c r="C66">
        <v>3009</v>
      </c>
      <c r="D66">
        <v>2881</v>
      </c>
      <c r="E66">
        <v>3000.459961</v>
      </c>
      <c r="F66">
        <v>5388600</v>
      </c>
      <c r="G66">
        <f t="shared" si="2"/>
        <v>-4.5400389999999788</v>
      </c>
      <c r="H66">
        <f t="shared" ref="H66:H129" si="3">F66/1000000</f>
        <v>5.3886000000000003</v>
      </c>
      <c r="I66">
        <f t="shared" ref="I66:I129" si="4">C66-D66</f>
        <v>128</v>
      </c>
    </row>
    <row r="67" spans="1:9" x14ac:dyDescent="0.2">
      <c r="A67" s="4">
        <v>44263</v>
      </c>
      <c r="B67">
        <v>3015</v>
      </c>
      <c r="C67">
        <v>3064.5900879999999</v>
      </c>
      <c r="D67">
        <v>2951.3100589999999</v>
      </c>
      <c r="E67">
        <v>2951.9499510000001</v>
      </c>
      <c r="F67">
        <v>4185000</v>
      </c>
      <c r="G67">
        <f t="shared" ref="G67:G130" si="5">E67-B67</f>
        <v>-63.050048999999944</v>
      </c>
      <c r="H67">
        <f t="shared" si="3"/>
        <v>4.1849999999999996</v>
      </c>
      <c r="I67">
        <f t="shared" si="4"/>
        <v>113.28002900000001</v>
      </c>
    </row>
    <row r="68" spans="1:9" x14ac:dyDescent="0.2">
      <c r="A68" s="4">
        <v>44264</v>
      </c>
      <c r="B68">
        <v>3017.98999</v>
      </c>
      <c r="C68">
        <v>3090.959961</v>
      </c>
      <c r="D68">
        <v>3005.1499020000001</v>
      </c>
      <c r="E68">
        <v>3062.8500979999999</v>
      </c>
      <c r="F68">
        <v>4030000</v>
      </c>
      <c r="G68">
        <f t="shared" si="5"/>
        <v>44.860107999999855</v>
      </c>
      <c r="H68">
        <f t="shared" si="3"/>
        <v>4.03</v>
      </c>
      <c r="I68">
        <f t="shared" si="4"/>
        <v>85.81005899999991</v>
      </c>
    </row>
    <row r="69" spans="1:9" x14ac:dyDescent="0.2">
      <c r="A69" s="4">
        <v>44265</v>
      </c>
      <c r="B69">
        <v>3098.4499510000001</v>
      </c>
      <c r="C69">
        <v>3116.459961</v>
      </c>
      <c r="D69">
        <v>3030.0500489999999</v>
      </c>
      <c r="E69">
        <v>3057.639893</v>
      </c>
      <c r="F69">
        <v>3012500</v>
      </c>
      <c r="G69">
        <f t="shared" si="5"/>
        <v>-40.810058000000026</v>
      </c>
      <c r="H69">
        <f t="shared" si="3"/>
        <v>3.0125000000000002</v>
      </c>
      <c r="I69">
        <f t="shared" si="4"/>
        <v>86.409912000000077</v>
      </c>
    </row>
    <row r="70" spans="1:9" x14ac:dyDescent="0.2">
      <c r="A70" s="4">
        <v>44266</v>
      </c>
      <c r="B70">
        <v>3104.01001</v>
      </c>
      <c r="C70">
        <v>3131.780029</v>
      </c>
      <c r="D70">
        <v>3082.929932</v>
      </c>
      <c r="E70">
        <v>3113.5900879999999</v>
      </c>
      <c r="F70">
        <v>2776400</v>
      </c>
      <c r="G70">
        <f t="shared" si="5"/>
        <v>9.5800779999999577</v>
      </c>
      <c r="H70">
        <f t="shared" si="3"/>
        <v>2.7764000000000002</v>
      </c>
      <c r="I70">
        <f t="shared" si="4"/>
        <v>48.850097000000005</v>
      </c>
    </row>
    <row r="71" spans="1:9" x14ac:dyDescent="0.2">
      <c r="A71" s="4">
        <v>44267</v>
      </c>
      <c r="B71">
        <v>3075</v>
      </c>
      <c r="C71">
        <v>3098.9799800000001</v>
      </c>
      <c r="D71">
        <v>3045.5</v>
      </c>
      <c r="E71">
        <v>3089.48999</v>
      </c>
      <c r="F71">
        <v>2421900</v>
      </c>
      <c r="G71">
        <f t="shared" si="5"/>
        <v>14.489990000000034</v>
      </c>
      <c r="H71">
        <f t="shared" si="3"/>
        <v>2.4218999999999999</v>
      </c>
      <c r="I71">
        <f t="shared" si="4"/>
        <v>53.479980000000069</v>
      </c>
    </row>
    <row r="72" spans="1:9" x14ac:dyDescent="0.2">
      <c r="A72" s="4">
        <v>44270</v>
      </c>
      <c r="B72">
        <v>3074.570068</v>
      </c>
      <c r="C72">
        <v>3082.23999</v>
      </c>
      <c r="D72">
        <v>3032.0900879999999</v>
      </c>
      <c r="E72">
        <v>3081.679932</v>
      </c>
      <c r="F72">
        <v>2913600</v>
      </c>
      <c r="G72">
        <f t="shared" si="5"/>
        <v>7.1098640000000159</v>
      </c>
      <c r="H72">
        <f t="shared" si="3"/>
        <v>2.9136000000000002</v>
      </c>
      <c r="I72">
        <f t="shared" si="4"/>
        <v>50.149902000000111</v>
      </c>
    </row>
    <row r="73" spans="1:9" x14ac:dyDescent="0.2">
      <c r="A73" s="4">
        <v>44271</v>
      </c>
      <c r="B73">
        <v>3104.969971</v>
      </c>
      <c r="C73">
        <v>3128.9099120000001</v>
      </c>
      <c r="D73">
        <v>3075.860107</v>
      </c>
      <c r="E73">
        <v>3091.860107</v>
      </c>
      <c r="F73">
        <v>2538800</v>
      </c>
      <c r="G73">
        <f t="shared" si="5"/>
        <v>-13.109864000000016</v>
      </c>
      <c r="H73">
        <f t="shared" si="3"/>
        <v>2.5388000000000002</v>
      </c>
      <c r="I73">
        <f t="shared" si="4"/>
        <v>53.049805000000106</v>
      </c>
    </row>
    <row r="74" spans="1:9" x14ac:dyDescent="0.2">
      <c r="A74" s="4">
        <v>44272</v>
      </c>
      <c r="B74">
        <v>3073.219971</v>
      </c>
      <c r="C74">
        <v>3173.0500489999999</v>
      </c>
      <c r="D74">
        <v>3070.219971</v>
      </c>
      <c r="E74">
        <v>3135.7299800000001</v>
      </c>
      <c r="F74">
        <v>3118600</v>
      </c>
      <c r="G74">
        <f t="shared" si="5"/>
        <v>62.510009000000082</v>
      </c>
      <c r="H74">
        <f t="shared" si="3"/>
        <v>3.1185999999999998</v>
      </c>
      <c r="I74">
        <f t="shared" si="4"/>
        <v>102.83007799999996</v>
      </c>
    </row>
    <row r="75" spans="1:9" x14ac:dyDescent="0.2">
      <c r="A75" s="4">
        <v>44273</v>
      </c>
      <c r="B75">
        <v>3101</v>
      </c>
      <c r="C75">
        <v>3116.6298830000001</v>
      </c>
      <c r="D75">
        <v>3025</v>
      </c>
      <c r="E75">
        <v>3027.98999</v>
      </c>
      <c r="F75">
        <v>3649600</v>
      </c>
      <c r="G75">
        <f t="shared" si="5"/>
        <v>-73.010009999999966</v>
      </c>
      <c r="H75">
        <f t="shared" si="3"/>
        <v>3.6496</v>
      </c>
      <c r="I75">
        <f t="shared" si="4"/>
        <v>91.629883000000063</v>
      </c>
    </row>
    <row r="76" spans="1:9" x14ac:dyDescent="0.2">
      <c r="A76" s="4">
        <v>44274</v>
      </c>
      <c r="B76">
        <v>3029.2299800000001</v>
      </c>
      <c r="C76">
        <v>3077.290039</v>
      </c>
      <c r="D76">
        <v>3016.6298830000001</v>
      </c>
      <c r="E76">
        <v>3074.959961</v>
      </c>
      <c r="F76">
        <v>4625400</v>
      </c>
      <c r="G76">
        <f t="shared" si="5"/>
        <v>45.729980999999952</v>
      </c>
      <c r="H76">
        <f t="shared" si="3"/>
        <v>4.6254</v>
      </c>
      <c r="I76">
        <f t="shared" si="4"/>
        <v>60.660155999999915</v>
      </c>
    </row>
    <row r="77" spans="1:9" x14ac:dyDescent="0.2">
      <c r="A77" s="4">
        <v>44277</v>
      </c>
      <c r="B77">
        <v>3067.8500979999999</v>
      </c>
      <c r="C77">
        <v>3126.580078</v>
      </c>
      <c r="D77">
        <v>3060.0500489999999</v>
      </c>
      <c r="E77">
        <v>3110.8701169999999</v>
      </c>
      <c r="F77">
        <v>2902200</v>
      </c>
      <c r="G77">
        <f t="shared" si="5"/>
        <v>43.020019000000048</v>
      </c>
      <c r="H77">
        <f t="shared" si="3"/>
        <v>2.9022000000000001</v>
      </c>
      <c r="I77">
        <f t="shared" si="4"/>
        <v>66.530029000000013</v>
      </c>
    </row>
    <row r="78" spans="1:9" x14ac:dyDescent="0.2">
      <c r="A78" s="4">
        <v>44278</v>
      </c>
      <c r="B78">
        <v>3127</v>
      </c>
      <c r="C78">
        <v>3182</v>
      </c>
      <c r="D78">
        <v>3120.8500979999999</v>
      </c>
      <c r="E78">
        <v>3137.5</v>
      </c>
      <c r="F78">
        <v>3817300</v>
      </c>
      <c r="G78">
        <f t="shared" si="5"/>
        <v>10.5</v>
      </c>
      <c r="H78">
        <f t="shared" si="3"/>
        <v>3.8172999999999999</v>
      </c>
      <c r="I78">
        <f t="shared" si="4"/>
        <v>61.149902000000111</v>
      </c>
    </row>
    <row r="79" spans="1:9" x14ac:dyDescent="0.2">
      <c r="A79" s="4">
        <v>44279</v>
      </c>
      <c r="B79">
        <v>3151.040039</v>
      </c>
      <c r="C79">
        <v>3160.3100589999999</v>
      </c>
      <c r="D79">
        <v>3085.1499020000001</v>
      </c>
      <c r="E79">
        <v>3087.070068</v>
      </c>
      <c r="F79">
        <v>2959000</v>
      </c>
      <c r="G79">
        <f t="shared" si="5"/>
        <v>-63.969970999999987</v>
      </c>
      <c r="H79">
        <f t="shared" si="3"/>
        <v>2.9590000000000001</v>
      </c>
      <c r="I79">
        <f t="shared" si="4"/>
        <v>75.160156999999799</v>
      </c>
    </row>
    <row r="80" spans="1:9" x14ac:dyDescent="0.2">
      <c r="A80" s="4">
        <v>44280</v>
      </c>
      <c r="B80">
        <v>3072.98999</v>
      </c>
      <c r="C80">
        <v>3109.780029</v>
      </c>
      <c r="D80">
        <v>3037.139893</v>
      </c>
      <c r="E80">
        <v>3046.26001</v>
      </c>
      <c r="F80">
        <v>3563500</v>
      </c>
      <c r="G80">
        <f t="shared" si="5"/>
        <v>-26.729980000000069</v>
      </c>
      <c r="H80">
        <f t="shared" si="3"/>
        <v>3.5634999999999999</v>
      </c>
      <c r="I80">
        <f t="shared" si="4"/>
        <v>72.640135999999984</v>
      </c>
    </row>
    <row r="81" spans="1:9" x14ac:dyDescent="0.2">
      <c r="A81" s="4">
        <v>44281</v>
      </c>
      <c r="B81">
        <v>3044.0600589999999</v>
      </c>
      <c r="C81">
        <v>3056.6599120000001</v>
      </c>
      <c r="D81">
        <v>2996</v>
      </c>
      <c r="E81">
        <v>3052.030029</v>
      </c>
      <c r="F81">
        <v>3312900</v>
      </c>
      <c r="G81">
        <f t="shared" si="5"/>
        <v>7.969970000000103</v>
      </c>
      <c r="H81">
        <f t="shared" si="3"/>
        <v>3.3129</v>
      </c>
      <c r="I81">
        <f t="shared" si="4"/>
        <v>60.659912000000077</v>
      </c>
    </row>
    <row r="82" spans="1:9" x14ac:dyDescent="0.2">
      <c r="A82" s="4">
        <v>44284</v>
      </c>
      <c r="B82">
        <v>3055.4399410000001</v>
      </c>
      <c r="C82">
        <v>3091.25</v>
      </c>
      <c r="D82">
        <v>3028.4499510000001</v>
      </c>
      <c r="E82">
        <v>3075.7299800000001</v>
      </c>
      <c r="F82">
        <v>2746000</v>
      </c>
      <c r="G82">
        <f t="shared" si="5"/>
        <v>20.290038999999979</v>
      </c>
      <c r="H82">
        <f t="shared" si="3"/>
        <v>2.746</v>
      </c>
      <c r="I82">
        <f t="shared" si="4"/>
        <v>62.800048999999944</v>
      </c>
    </row>
    <row r="83" spans="1:9" x14ac:dyDescent="0.2">
      <c r="A83" s="4">
        <v>44285</v>
      </c>
      <c r="B83">
        <v>3070.01001</v>
      </c>
      <c r="C83">
        <v>3073</v>
      </c>
      <c r="D83">
        <v>3034</v>
      </c>
      <c r="E83">
        <v>3055.290039</v>
      </c>
      <c r="F83">
        <v>2337600</v>
      </c>
      <c r="G83">
        <f t="shared" si="5"/>
        <v>-14.719970999999987</v>
      </c>
      <c r="H83">
        <f t="shared" si="3"/>
        <v>2.3376000000000001</v>
      </c>
      <c r="I83">
        <f t="shared" si="4"/>
        <v>39</v>
      </c>
    </row>
    <row r="84" spans="1:9" x14ac:dyDescent="0.2">
      <c r="A84" s="4">
        <v>44286</v>
      </c>
      <c r="B84">
        <v>3064.0600589999999</v>
      </c>
      <c r="C84">
        <v>3119.330078</v>
      </c>
      <c r="D84">
        <v>3062.5</v>
      </c>
      <c r="E84">
        <v>3094.080078</v>
      </c>
      <c r="F84">
        <v>3093900</v>
      </c>
      <c r="G84">
        <f t="shared" si="5"/>
        <v>30.020019000000048</v>
      </c>
      <c r="H84">
        <f t="shared" si="3"/>
        <v>3.0939000000000001</v>
      </c>
      <c r="I84">
        <f t="shared" si="4"/>
        <v>56.830077999999958</v>
      </c>
    </row>
    <row r="85" spans="1:9" x14ac:dyDescent="0.2">
      <c r="A85" s="4">
        <v>44287</v>
      </c>
      <c r="B85">
        <v>3117.9399410000001</v>
      </c>
      <c r="C85">
        <v>3162.4399410000001</v>
      </c>
      <c r="D85">
        <v>3115.5500489999999</v>
      </c>
      <c r="E85">
        <v>3161</v>
      </c>
      <c r="F85">
        <v>2940300</v>
      </c>
      <c r="G85">
        <f t="shared" si="5"/>
        <v>43.06005899999991</v>
      </c>
      <c r="H85">
        <f t="shared" si="3"/>
        <v>2.9403000000000001</v>
      </c>
      <c r="I85">
        <f t="shared" si="4"/>
        <v>46.889892000000145</v>
      </c>
    </row>
    <row r="86" spans="1:9" x14ac:dyDescent="0.2">
      <c r="A86" s="4">
        <v>44291</v>
      </c>
      <c r="B86">
        <v>3173</v>
      </c>
      <c r="C86">
        <v>3235.959961</v>
      </c>
      <c r="D86">
        <v>3161.23999</v>
      </c>
      <c r="E86">
        <v>3226.7299800000001</v>
      </c>
      <c r="F86">
        <v>3334900</v>
      </c>
      <c r="G86">
        <f t="shared" si="5"/>
        <v>53.729980000000069</v>
      </c>
      <c r="H86">
        <f t="shared" si="3"/>
        <v>3.3349000000000002</v>
      </c>
      <c r="I86">
        <f t="shared" si="4"/>
        <v>74.719970999999987</v>
      </c>
    </row>
    <row r="87" spans="1:9" x14ac:dyDescent="0.2">
      <c r="A87" s="4">
        <v>44292</v>
      </c>
      <c r="B87">
        <v>3223.75</v>
      </c>
      <c r="C87">
        <v>3247.3100589999999</v>
      </c>
      <c r="D87">
        <v>3217.040039</v>
      </c>
      <c r="E87">
        <v>3223.820068</v>
      </c>
      <c r="F87">
        <v>2537800</v>
      </c>
      <c r="G87">
        <f t="shared" si="5"/>
        <v>7.0067999999992026E-2</v>
      </c>
      <c r="H87">
        <f t="shared" si="3"/>
        <v>2.5377999999999998</v>
      </c>
      <c r="I87">
        <f t="shared" si="4"/>
        <v>30.270019999999931</v>
      </c>
    </row>
    <row r="88" spans="1:9" x14ac:dyDescent="0.2">
      <c r="A88" s="4">
        <v>44293</v>
      </c>
      <c r="B88">
        <v>3233.8000489999999</v>
      </c>
      <c r="C88">
        <v>3303.610107</v>
      </c>
      <c r="D88">
        <v>3223.6499020000001</v>
      </c>
      <c r="E88">
        <v>3279.389893</v>
      </c>
      <c r="F88">
        <v>3346200</v>
      </c>
      <c r="G88">
        <f t="shared" si="5"/>
        <v>45.589844000000085</v>
      </c>
      <c r="H88">
        <f t="shared" si="3"/>
        <v>3.3462000000000001</v>
      </c>
      <c r="I88">
        <f t="shared" si="4"/>
        <v>79.96020499999986</v>
      </c>
    </row>
    <row r="89" spans="1:9" x14ac:dyDescent="0.2">
      <c r="A89" s="4">
        <v>44294</v>
      </c>
      <c r="B89">
        <v>3310.8999020000001</v>
      </c>
      <c r="C89">
        <v>3324.5</v>
      </c>
      <c r="D89">
        <v>3292</v>
      </c>
      <c r="E89">
        <v>3299.3000489999999</v>
      </c>
      <c r="F89">
        <v>2812100</v>
      </c>
      <c r="G89">
        <f t="shared" si="5"/>
        <v>-11.599853000000167</v>
      </c>
      <c r="H89">
        <f t="shared" si="3"/>
        <v>2.8121</v>
      </c>
      <c r="I89">
        <f t="shared" si="4"/>
        <v>32.5</v>
      </c>
    </row>
    <row r="90" spans="1:9" x14ac:dyDescent="0.2">
      <c r="A90" s="4">
        <v>44295</v>
      </c>
      <c r="B90">
        <v>3304.6999510000001</v>
      </c>
      <c r="C90">
        <v>3372.1999510000001</v>
      </c>
      <c r="D90">
        <v>3288.8999020000001</v>
      </c>
      <c r="E90">
        <v>3372.1999510000001</v>
      </c>
      <c r="F90">
        <v>4341500</v>
      </c>
      <c r="G90">
        <f t="shared" si="5"/>
        <v>67.5</v>
      </c>
      <c r="H90">
        <f t="shared" si="3"/>
        <v>4.3414999999999999</v>
      </c>
      <c r="I90">
        <f t="shared" si="4"/>
        <v>83.300048999999944</v>
      </c>
    </row>
    <row r="91" spans="1:9" x14ac:dyDescent="0.2">
      <c r="A91" s="4">
        <v>44298</v>
      </c>
      <c r="B91">
        <v>3355.209961</v>
      </c>
      <c r="C91">
        <v>3395.040039</v>
      </c>
      <c r="D91">
        <v>3351.1499020000001</v>
      </c>
      <c r="E91">
        <v>3379.389893</v>
      </c>
      <c r="F91">
        <v>3281800</v>
      </c>
      <c r="G91">
        <f t="shared" si="5"/>
        <v>24.179932000000008</v>
      </c>
      <c r="H91">
        <f t="shared" si="3"/>
        <v>3.2818000000000001</v>
      </c>
      <c r="I91">
        <f t="shared" si="4"/>
        <v>43.890136999999868</v>
      </c>
    </row>
    <row r="92" spans="1:9" x14ac:dyDescent="0.2">
      <c r="A92" s="4">
        <v>44299</v>
      </c>
      <c r="B92">
        <v>3400.8500979999999</v>
      </c>
      <c r="C92">
        <v>3432</v>
      </c>
      <c r="D92">
        <v>3395.6298830000001</v>
      </c>
      <c r="E92">
        <v>3400</v>
      </c>
      <c r="F92">
        <v>3315800</v>
      </c>
      <c r="G92">
        <f t="shared" si="5"/>
        <v>-0.850097999999889</v>
      </c>
      <c r="H92">
        <f t="shared" si="3"/>
        <v>3.3157999999999999</v>
      </c>
      <c r="I92">
        <f t="shared" si="4"/>
        <v>36.370116999999937</v>
      </c>
    </row>
    <row r="93" spans="1:9" x14ac:dyDescent="0.2">
      <c r="A93" s="4">
        <v>44300</v>
      </c>
      <c r="B93">
        <v>3404.040039</v>
      </c>
      <c r="C93">
        <v>3404.1298830000001</v>
      </c>
      <c r="D93">
        <v>3326</v>
      </c>
      <c r="E93">
        <v>3333</v>
      </c>
      <c r="F93">
        <v>3145200</v>
      </c>
      <c r="G93">
        <f t="shared" si="5"/>
        <v>-71.040038999999979</v>
      </c>
      <c r="H93">
        <f t="shared" si="3"/>
        <v>3.1452</v>
      </c>
      <c r="I93">
        <f t="shared" si="4"/>
        <v>78.129883000000063</v>
      </c>
    </row>
    <row r="94" spans="1:9" x14ac:dyDescent="0.2">
      <c r="A94" s="4">
        <v>44301</v>
      </c>
      <c r="B94">
        <v>3371</v>
      </c>
      <c r="C94">
        <v>3397</v>
      </c>
      <c r="D94">
        <v>3352</v>
      </c>
      <c r="E94">
        <v>3379.0900879999999</v>
      </c>
      <c r="F94">
        <v>3233600</v>
      </c>
      <c r="G94">
        <f t="shared" si="5"/>
        <v>8.0900879999999233</v>
      </c>
      <c r="H94">
        <f t="shared" si="3"/>
        <v>3.2336</v>
      </c>
      <c r="I94">
        <f t="shared" si="4"/>
        <v>45</v>
      </c>
    </row>
    <row r="95" spans="1:9" x14ac:dyDescent="0.2">
      <c r="A95" s="4">
        <v>44302</v>
      </c>
      <c r="B95">
        <v>3380</v>
      </c>
      <c r="C95">
        <v>3406.8000489999999</v>
      </c>
      <c r="D95">
        <v>3355.5900879999999</v>
      </c>
      <c r="E95">
        <v>3399.4399410000001</v>
      </c>
      <c r="F95">
        <v>3186000</v>
      </c>
      <c r="G95">
        <f t="shared" si="5"/>
        <v>19.43994100000009</v>
      </c>
      <c r="H95">
        <f t="shared" si="3"/>
        <v>3.1859999999999999</v>
      </c>
      <c r="I95">
        <f t="shared" si="4"/>
        <v>51.209961000000021</v>
      </c>
    </row>
    <row r="96" spans="1:9" x14ac:dyDescent="0.2">
      <c r="A96" s="4">
        <v>44305</v>
      </c>
      <c r="B96">
        <v>3390.330078</v>
      </c>
      <c r="C96">
        <v>3435.929932</v>
      </c>
      <c r="D96">
        <v>3360.1599120000001</v>
      </c>
      <c r="E96">
        <v>3372.01001</v>
      </c>
      <c r="F96">
        <v>2725400</v>
      </c>
      <c r="G96">
        <f t="shared" si="5"/>
        <v>-18.320067999999992</v>
      </c>
      <c r="H96">
        <f t="shared" si="3"/>
        <v>2.7254</v>
      </c>
      <c r="I96">
        <f t="shared" si="4"/>
        <v>75.770019999999931</v>
      </c>
    </row>
    <row r="97" spans="1:9" x14ac:dyDescent="0.2">
      <c r="A97" s="4">
        <v>44306</v>
      </c>
      <c r="B97">
        <v>3373.6000979999999</v>
      </c>
      <c r="C97">
        <v>3382.98999</v>
      </c>
      <c r="D97">
        <v>3316</v>
      </c>
      <c r="E97">
        <v>3334.6899410000001</v>
      </c>
      <c r="F97">
        <v>2623000</v>
      </c>
      <c r="G97">
        <f t="shared" si="5"/>
        <v>-38.910156999999799</v>
      </c>
      <c r="H97">
        <f t="shared" si="3"/>
        <v>2.6230000000000002</v>
      </c>
      <c r="I97">
        <f t="shared" si="4"/>
        <v>66.989990000000034</v>
      </c>
    </row>
    <row r="98" spans="1:9" x14ac:dyDescent="0.2">
      <c r="A98" s="4">
        <v>44307</v>
      </c>
      <c r="B98">
        <v>3316</v>
      </c>
      <c r="C98">
        <v>3362.860107</v>
      </c>
      <c r="D98">
        <v>3303.8100589999999</v>
      </c>
      <c r="E98">
        <v>3362.0200199999999</v>
      </c>
      <c r="F98">
        <v>2211200</v>
      </c>
      <c r="G98">
        <f t="shared" si="5"/>
        <v>46.020019999999931</v>
      </c>
      <c r="H98">
        <f t="shared" si="3"/>
        <v>2.2111999999999998</v>
      </c>
      <c r="I98">
        <f t="shared" si="4"/>
        <v>59.050048000000061</v>
      </c>
    </row>
    <row r="99" spans="1:9" x14ac:dyDescent="0.2">
      <c r="A99" s="4">
        <v>44308</v>
      </c>
      <c r="B99">
        <v>3371.679932</v>
      </c>
      <c r="C99">
        <v>3372.8701169999999</v>
      </c>
      <c r="D99">
        <v>3301.4499510000001</v>
      </c>
      <c r="E99">
        <v>3309.040039</v>
      </c>
      <c r="F99">
        <v>2580600</v>
      </c>
      <c r="G99">
        <f t="shared" si="5"/>
        <v>-62.639893000000029</v>
      </c>
      <c r="H99">
        <f t="shared" si="3"/>
        <v>2.5806</v>
      </c>
      <c r="I99">
        <f t="shared" si="4"/>
        <v>71.420165999999881</v>
      </c>
    </row>
    <row r="100" spans="1:9" x14ac:dyDescent="0.2">
      <c r="A100" s="4">
        <v>44309</v>
      </c>
      <c r="B100">
        <v>3319.1000979999999</v>
      </c>
      <c r="C100">
        <v>3375</v>
      </c>
      <c r="D100">
        <v>3308.5</v>
      </c>
      <c r="E100">
        <v>3340.8798830000001</v>
      </c>
      <c r="F100">
        <v>3192800</v>
      </c>
      <c r="G100">
        <f t="shared" si="5"/>
        <v>21.779785000000174</v>
      </c>
      <c r="H100">
        <f t="shared" si="3"/>
        <v>3.1928000000000001</v>
      </c>
      <c r="I100">
        <f t="shared" si="4"/>
        <v>66.5</v>
      </c>
    </row>
    <row r="101" spans="1:9" x14ac:dyDescent="0.2">
      <c r="A101" s="4">
        <v>44312</v>
      </c>
      <c r="B101">
        <v>3348</v>
      </c>
      <c r="C101">
        <v>3428.4499510000001</v>
      </c>
      <c r="D101">
        <v>3330.9399410000001</v>
      </c>
      <c r="E101">
        <v>3409</v>
      </c>
      <c r="F101">
        <v>4880700</v>
      </c>
      <c r="G101">
        <f t="shared" si="5"/>
        <v>61</v>
      </c>
      <c r="H101">
        <f t="shared" si="3"/>
        <v>4.8807</v>
      </c>
      <c r="I101">
        <f t="shared" si="4"/>
        <v>97.510009999999966</v>
      </c>
    </row>
    <row r="102" spans="1:9" x14ac:dyDescent="0.2">
      <c r="A102" s="4">
        <v>44313</v>
      </c>
      <c r="B102">
        <v>3443.469971</v>
      </c>
      <c r="C102">
        <v>3460</v>
      </c>
      <c r="D102">
        <v>3398.01001</v>
      </c>
      <c r="E102">
        <v>3417.429932</v>
      </c>
      <c r="F102">
        <v>3827100</v>
      </c>
      <c r="G102">
        <f t="shared" si="5"/>
        <v>-26.040038999999979</v>
      </c>
      <c r="H102">
        <f t="shared" si="3"/>
        <v>3.8271000000000002</v>
      </c>
      <c r="I102">
        <f t="shared" si="4"/>
        <v>61.989990000000034</v>
      </c>
    </row>
    <row r="103" spans="1:9" x14ac:dyDescent="0.2">
      <c r="A103" s="4">
        <v>44314</v>
      </c>
      <c r="B103">
        <v>3434.8000489999999</v>
      </c>
      <c r="C103">
        <v>3489.8798830000001</v>
      </c>
      <c r="D103">
        <v>3425</v>
      </c>
      <c r="E103">
        <v>3458.5</v>
      </c>
      <c r="F103">
        <v>4631900</v>
      </c>
      <c r="G103">
        <f t="shared" si="5"/>
        <v>23.699951000000056</v>
      </c>
      <c r="H103">
        <f t="shared" si="3"/>
        <v>4.6318999999999999</v>
      </c>
      <c r="I103">
        <f t="shared" si="4"/>
        <v>64.879883000000063</v>
      </c>
    </row>
    <row r="104" spans="1:9" x14ac:dyDescent="0.2">
      <c r="A104" s="4">
        <v>44315</v>
      </c>
      <c r="B104">
        <v>3505.1000979999999</v>
      </c>
      <c r="C104">
        <v>3514.4499510000001</v>
      </c>
      <c r="D104">
        <v>3435</v>
      </c>
      <c r="E104">
        <v>3471.3100589999999</v>
      </c>
      <c r="F104">
        <v>7682400</v>
      </c>
      <c r="G104">
        <f t="shared" si="5"/>
        <v>-33.790038999999979</v>
      </c>
      <c r="H104">
        <f t="shared" si="3"/>
        <v>7.6824000000000003</v>
      </c>
      <c r="I104">
        <f t="shared" si="4"/>
        <v>79.449951000000056</v>
      </c>
    </row>
    <row r="105" spans="1:9" x14ac:dyDescent="0.2">
      <c r="A105" s="4">
        <v>44316</v>
      </c>
      <c r="B105">
        <v>3525.1201169999999</v>
      </c>
      <c r="C105">
        <v>3554</v>
      </c>
      <c r="D105">
        <v>3462.5</v>
      </c>
      <c r="E105">
        <v>3467.419922</v>
      </c>
      <c r="F105">
        <v>7009300</v>
      </c>
      <c r="G105">
        <f t="shared" si="5"/>
        <v>-57.700194999999894</v>
      </c>
      <c r="H105">
        <f t="shared" si="3"/>
        <v>7.0092999999999996</v>
      </c>
      <c r="I105">
        <f t="shared" si="4"/>
        <v>91.5</v>
      </c>
    </row>
    <row r="106" spans="1:9" x14ac:dyDescent="0.2">
      <c r="A106" s="4">
        <v>44319</v>
      </c>
      <c r="B106">
        <v>3484.7299800000001</v>
      </c>
      <c r="C106">
        <v>3486.6499020000001</v>
      </c>
      <c r="D106">
        <v>3372.6999510000001</v>
      </c>
      <c r="E106">
        <v>3386.48999</v>
      </c>
      <c r="F106">
        <v>5875500</v>
      </c>
      <c r="G106">
        <f t="shared" si="5"/>
        <v>-98.239990000000034</v>
      </c>
      <c r="H106">
        <f t="shared" si="3"/>
        <v>5.8754999999999997</v>
      </c>
      <c r="I106">
        <f t="shared" si="4"/>
        <v>113.94995100000006</v>
      </c>
    </row>
    <row r="107" spans="1:9" x14ac:dyDescent="0.2">
      <c r="A107" s="4">
        <v>44320</v>
      </c>
      <c r="B107">
        <v>3356.1899410000001</v>
      </c>
      <c r="C107">
        <v>3367.9799800000001</v>
      </c>
      <c r="D107">
        <v>3272.1298830000001</v>
      </c>
      <c r="E107">
        <v>3311.8701169999999</v>
      </c>
      <c r="F107">
        <v>5439400</v>
      </c>
      <c r="G107">
        <f t="shared" si="5"/>
        <v>-44.319824000000153</v>
      </c>
      <c r="H107">
        <f t="shared" si="3"/>
        <v>5.4394</v>
      </c>
      <c r="I107">
        <f t="shared" si="4"/>
        <v>95.850097000000005</v>
      </c>
    </row>
    <row r="108" spans="1:9" x14ac:dyDescent="0.2">
      <c r="A108" s="4">
        <v>44321</v>
      </c>
      <c r="B108">
        <v>3338.860107</v>
      </c>
      <c r="C108">
        <v>3354.6999510000001</v>
      </c>
      <c r="D108">
        <v>3264.360107</v>
      </c>
      <c r="E108">
        <v>3270.540039</v>
      </c>
      <c r="F108">
        <v>3711300</v>
      </c>
      <c r="G108">
        <f t="shared" si="5"/>
        <v>-68.320067999999992</v>
      </c>
      <c r="H108">
        <f t="shared" si="3"/>
        <v>3.7113</v>
      </c>
      <c r="I108">
        <f t="shared" si="4"/>
        <v>90.339844000000085</v>
      </c>
    </row>
    <row r="109" spans="1:9" x14ac:dyDescent="0.2">
      <c r="A109" s="4">
        <v>44322</v>
      </c>
      <c r="B109">
        <v>3270</v>
      </c>
      <c r="C109">
        <v>3314.3999020000001</v>
      </c>
      <c r="D109">
        <v>3247.1999510000001</v>
      </c>
      <c r="E109">
        <v>3306.3701169999999</v>
      </c>
      <c r="F109">
        <v>4447700</v>
      </c>
      <c r="G109">
        <f t="shared" si="5"/>
        <v>36.370116999999937</v>
      </c>
      <c r="H109">
        <f t="shared" si="3"/>
        <v>4.4477000000000002</v>
      </c>
      <c r="I109">
        <f t="shared" si="4"/>
        <v>67.199951000000056</v>
      </c>
    </row>
    <row r="110" spans="1:9" x14ac:dyDescent="0.2">
      <c r="A110" s="4">
        <v>44323</v>
      </c>
      <c r="B110">
        <v>3319.0900879999999</v>
      </c>
      <c r="C110">
        <v>3330.889893</v>
      </c>
      <c r="D110">
        <v>3289.070068</v>
      </c>
      <c r="E110">
        <v>3291.610107</v>
      </c>
      <c r="F110">
        <v>4710300</v>
      </c>
      <c r="G110">
        <f t="shared" si="5"/>
        <v>-27.479980999999952</v>
      </c>
      <c r="H110">
        <f t="shared" si="3"/>
        <v>4.7103000000000002</v>
      </c>
      <c r="I110">
        <f t="shared" si="4"/>
        <v>41.819825000000037</v>
      </c>
    </row>
    <row r="111" spans="1:9" x14ac:dyDescent="0.2">
      <c r="A111" s="4">
        <v>44326</v>
      </c>
      <c r="B111">
        <v>3282.320068</v>
      </c>
      <c r="C111">
        <v>3283</v>
      </c>
      <c r="D111">
        <v>3190</v>
      </c>
      <c r="E111">
        <v>3190.48999</v>
      </c>
      <c r="F111">
        <v>5838600</v>
      </c>
      <c r="G111">
        <f t="shared" si="5"/>
        <v>-91.830077999999958</v>
      </c>
      <c r="H111">
        <f t="shared" si="3"/>
        <v>5.8385999999999996</v>
      </c>
      <c r="I111">
        <f t="shared" si="4"/>
        <v>93</v>
      </c>
    </row>
    <row r="112" spans="1:9" x14ac:dyDescent="0.2">
      <c r="A112" s="4">
        <v>44327</v>
      </c>
      <c r="B112">
        <v>3136.280029</v>
      </c>
      <c r="C112">
        <v>3238</v>
      </c>
      <c r="D112">
        <v>3127.3701169999999</v>
      </c>
      <c r="E112">
        <v>3223.9099120000001</v>
      </c>
      <c r="F112">
        <v>4619800</v>
      </c>
      <c r="G112">
        <f t="shared" si="5"/>
        <v>87.629883000000063</v>
      </c>
      <c r="H112">
        <f t="shared" si="3"/>
        <v>4.6197999999999997</v>
      </c>
      <c r="I112">
        <f t="shared" si="4"/>
        <v>110.62988300000006</v>
      </c>
    </row>
    <row r="113" spans="1:9" x14ac:dyDescent="0.2">
      <c r="A113" s="4">
        <v>44328</v>
      </c>
      <c r="B113">
        <v>3185</v>
      </c>
      <c r="C113">
        <v>3207.9399410000001</v>
      </c>
      <c r="D113">
        <v>3133.1000979999999</v>
      </c>
      <c r="E113">
        <v>3151.9399410000001</v>
      </c>
      <c r="F113">
        <v>4936400</v>
      </c>
      <c r="G113">
        <f t="shared" si="5"/>
        <v>-33.06005899999991</v>
      </c>
      <c r="H113">
        <f t="shared" si="3"/>
        <v>4.9363999999999999</v>
      </c>
      <c r="I113">
        <f t="shared" si="4"/>
        <v>74.839843000000201</v>
      </c>
    </row>
    <row r="114" spans="1:9" x14ac:dyDescent="0.2">
      <c r="A114" s="4">
        <v>44329</v>
      </c>
      <c r="B114">
        <v>3185.469971</v>
      </c>
      <c r="C114">
        <v>3203.8400879999999</v>
      </c>
      <c r="D114">
        <v>3133</v>
      </c>
      <c r="E114">
        <v>3161.469971</v>
      </c>
      <c r="F114">
        <v>3350900</v>
      </c>
      <c r="G114">
        <f t="shared" si="5"/>
        <v>-24</v>
      </c>
      <c r="H114">
        <f t="shared" si="3"/>
        <v>3.3509000000000002</v>
      </c>
      <c r="I114">
        <f t="shared" si="4"/>
        <v>70.840087999999923</v>
      </c>
    </row>
    <row r="115" spans="1:9" x14ac:dyDescent="0.2">
      <c r="A115" s="4">
        <v>44330</v>
      </c>
      <c r="B115">
        <v>3185.5600589999999</v>
      </c>
      <c r="C115">
        <v>3228.860107</v>
      </c>
      <c r="D115">
        <v>3183</v>
      </c>
      <c r="E115">
        <v>3222.8999020000001</v>
      </c>
      <c r="F115">
        <v>3325000</v>
      </c>
      <c r="G115">
        <f t="shared" si="5"/>
        <v>37.339843000000201</v>
      </c>
      <c r="H115">
        <f t="shared" si="3"/>
        <v>3.3250000000000002</v>
      </c>
      <c r="I115">
        <f t="shared" si="4"/>
        <v>45.860106999999971</v>
      </c>
    </row>
    <row r="116" spans="1:9" x14ac:dyDescent="0.2">
      <c r="A116" s="4">
        <v>44333</v>
      </c>
      <c r="B116">
        <v>3245.929932</v>
      </c>
      <c r="C116">
        <v>3292.75</v>
      </c>
      <c r="D116">
        <v>3234.5900879999999</v>
      </c>
      <c r="E116">
        <v>3270.389893</v>
      </c>
      <c r="F116">
        <v>3723900</v>
      </c>
      <c r="G116">
        <f t="shared" si="5"/>
        <v>24.459961000000021</v>
      </c>
      <c r="H116">
        <f t="shared" si="3"/>
        <v>3.7239</v>
      </c>
      <c r="I116">
        <f t="shared" si="4"/>
        <v>58.159912000000077</v>
      </c>
    </row>
    <row r="117" spans="1:9" x14ac:dyDescent="0.2">
      <c r="A117" s="4">
        <v>44334</v>
      </c>
      <c r="B117">
        <v>3292.580078</v>
      </c>
      <c r="C117">
        <v>3312</v>
      </c>
      <c r="D117">
        <v>3230.3701169999999</v>
      </c>
      <c r="E117">
        <v>3232.280029</v>
      </c>
      <c r="F117">
        <v>2828400</v>
      </c>
      <c r="G117">
        <f t="shared" si="5"/>
        <v>-60.300048999999944</v>
      </c>
      <c r="H117">
        <f t="shared" si="3"/>
        <v>2.8283999999999998</v>
      </c>
      <c r="I117">
        <f t="shared" si="4"/>
        <v>81.629883000000063</v>
      </c>
    </row>
    <row r="118" spans="1:9" x14ac:dyDescent="0.2">
      <c r="A118" s="4">
        <v>44335</v>
      </c>
      <c r="B118">
        <v>3195</v>
      </c>
      <c r="C118">
        <v>3234.75</v>
      </c>
      <c r="D118">
        <v>3184</v>
      </c>
      <c r="E118">
        <v>3231.8000489999999</v>
      </c>
      <c r="F118">
        <v>2679700</v>
      </c>
      <c r="G118">
        <f t="shared" si="5"/>
        <v>36.800048999999944</v>
      </c>
      <c r="H118">
        <f t="shared" si="3"/>
        <v>2.6797</v>
      </c>
      <c r="I118">
        <f t="shared" si="4"/>
        <v>50.75</v>
      </c>
    </row>
    <row r="119" spans="1:9" x14ac:dyDescent="0.2">
      <c r="A119" s="4">
        <v>44336</v>
      </c>
      <c r="B119">
        <v>3244.3999020000001</v>
      </c>
      <c r="C119">
        <v>3259.679932</v>
      </c>
      <c r="D119">
        <v>3236.179932</v>
      </c>
      <c r="E119">
        <v>3247.679932</v>
      </c>
      <c r="F119">
        <v>2633200</v>
      </c>
      <c r="G119">
        <f t="shared" si="5"/>
        <v>3.280029999999897</v>
      </c>
      <c r="H119">
        <f t="shared" si="3"/>
        <v>2.6332</v>
      </c>
      <c r="I119">
        <f t="shared" si="4"/>
        <v>23.5</v>
      </c>
    </row>
    <row r="120" spans="1:9" x14ac:dyDescent="0.2">
      <c r="A120" s="4">
        <v>44337</v>
      </c>
      <c r="B120">
        <v>3250</v>
      </c>
      <c r="C120">
        <v>3256.6899410000001</v>
      </c>
      <c r="D120">
        <v>3197.01001</v>
      </c>
      <c r="E120">
        <v>3203.080078</v>
      </c>
      <c r="F120">
        <v>4104900</v>
      </c>
      <c r="G120">
        <f t="shared" si="5"/>
        <v>-46.919922000000042</v>
      </c>
      <c r="H120">
        <f t="shared" si="3"/>
        <v>4.1048999999999998</v>
      </c>
      <c r="I120">
        <f t="shared" si="4"/>
        <v>59.679931000000124</v>
      </c>
    </row>
    <row r="121" spans="1:9" x14ac:dyDescent="0.2">
      <c r="A121" s="4">
        <v>44340</v>
      </c>
      <c r="B121">
        <v>3215.5</v>
      </c>
      <c r="C121">
        <v>3257.9499510000001</v>
      </c>
      <c r="D121">
        <v>3210.5</v>
      </c>
      <c r="E121">
        <v>3244.98999</v>
      </c>
      <c r="F121">
        <v>2422800</v>
      </c>
      <c r="G121">
        <f t="shared" si="5"/>
        <v>29.489990000000034</v>
      </c>
      <c r="H121">
        <f t="shared" si="3"/>
        <v>2.4228000000000001</v>
      </c>
      <c r="I121">
        <f t="shared" si="4"/>
        <v>47.449951000000056</v>
      </c>
    </row>
    <row r="122" spans="1:9" x14ac:dyDescent="0.2">
      <c r="A122" s="4">
        <v>44341</v>
      </c>
      <c r="B122">
        <v>3266.669922</v>
      </c>
      <c r="C122">
        <v>3279.820068</v>
      </c>
      <c r="D122">
        <v>3213.76001</v>
      </c>
      <c r="E122">
        <v>3259.0500489999999</v>
      </c>
      <c r="F122">
        <v>3261100</v>
      </c>
      <c r="G122">
        <f t="shared" si="5"/>
        <v>-7.6198730000000978</v>
      </c>
      <c r="H122">
        <f t="shared" si="3"/>
        <v>3.2610999999999999</v>
      </c>
      <c r="I122">
        <f t="shared" si="4"/>
        <v>66.060058000000026</v>
      </c>
    </row>
    <row r="123" spans="1:9" x14ac:dyDescent="0.2">
      <c r="A123" s="4">
        <v>44342</v>
      </c>
      <c r="B123">
        <v>3274.5900879999999</v>
      </c>
      <c r="C123">
        <v>3295.7299800000001</v>
      </c>
      <c r="D123">
        <v>3258.51001</v>
      </c>
      <c r="E123">
        <v>3265.1599120000001</v>
      </c>
      <c r="F123">
        <v>2384000</v>
      </c>
      <c r="G123">
        <f t="shared" si="5"/>
        <v>-9.4301759999998467</v>
      </c>
      <c r="H123">
        <f t="shared" si="3"/>
        <v>2.3839999999999999</v>
      </c>
      <c r="I123">
        <f t="shared" si="4"/>
        <v>37.219970000000103</v>
      </c>
    </row>
    <row r="124" spans="1:9" x14ac:dyDescent="0.2">
      <c r="A124" s="4">
        <v>44343</v>
      </c>
      <c r="B124">
        <v>3256</v>
      </c>
      <c r="C124">
        <v>3260.360107</v>
      </c>
      <c r="D124">
        <v>3230.040039</v>
      </c>
      <c r="E124">
        <v>3230.110107</v>
      </c>
      <c r="F124">
        <v>2561200</v>
      </c>
      <c r="G124">
        <f t="shared" si="5"/>
        <v>-25.889893000000029</v>
      </c>
      <c r="H124">
        <f t="shared" si="3"/>
        <v>2.5611999999999999</v>
      </c>
      <c r="I124">
        <f t="shared" si="4"/>
        <v>30.320067999999992</v>
      </c>
    </row>
    <row r="125" spans="1:9" x14ac:dyDescent="0.2">
      <c r="A125" s="4">
        <v>44344</v>
      </c>
      <c r="B125">
        <v>3242</v>
      </c>
      <c r="C125">
        <v>3247.98999</v>
      </c>
      <c r="D125">
        <v>3219.6999510000001</v>
      </c>
      <c r="E125">
        <v>3223.070068</v>
      </c>
      <c r="F125">
        <v>2329800</v>
      </c>
      <c r="G125">
        <f t="shared" si="5"/>
        <v>-18.929932000000008</v>
      </c>
      <c r="H125">
        <f t="shared" si="3"/>
        <v>2.3298000000000001</v>
      </c>
      <c r="I125">
        <f t="shared" si="4"/>
        <v>28.290038999999979</v>
      </c>
    </row>
    <row r="126" spans="1:9" x14ac:dyDescent="0.2">
      <c r="A126" s="4">
        <v>44348</v>
      </c>
      <c r="B126">
        <v>3243.5</v>
      </c>
      <c r="C126">
        <v>3250.9799800000001</v>
      </c>
      <c r="D126">
        <v>3209.0600589999999</v>
      </c>
      <c r="E126">
        <v>3218.6499020000001</v>
      </c>
      <c r="F126">
        <v>2430000</v>
      </c>
      <c r="G126">
        <f t="shared" si="5"/>
        <v>-24.850097999999889</v>
      </c>
      <c r="H126">
        <f t="shared" si="3"/>
        <v>2.4300000000000002</v>
      </c>
      <c r="I126">
        <f t="shared" si="4"/>
        <v>41.919921000000159</v>
      </c>
    </row>
    <row r="127" spans="1:9" x14ac:dyDescent="0.2">
      <c r="A127" s="4">
        <v>44349</v>
      </c>
      <c r="B127">
        <v>3223.1000979999999</v>
      </c>
      <c r="C127">
        <v>3235</v>
      </c>
      <c r="D127">
        <v>3208</v>
      </c>
      <c r="E127">
        <v>3233.98999</v>
      </c>
      <c r="F127">
        <v>2014500</v>
      </c>
      <c r="G127">
        <f t="shared" si="5"/>
        <v>10.889892000000145</v>
      </c>
      <c r="H127">
        <f t="shared" si="3"/>
        <v>2.0145</v>
      </c>
      <c r="I127">
        <f t="shared" si="4"/>
        <v>27</v>
      </c>
    </row>
    <row r="128" spans="1:9" x14ac:dyDescent="0.2">
      <c r="A128" s="4">
        <v>44350</v>
      </c>
      <c r="B128">
        <v>3204.2299800000001</v>
      </c>
      <c r="C128">
        <v>3214.4399410000001</v>
      </c>
      <c r="D128">
        <v>3184.030029</v>
      </c>
      <c r="E128">
        <v>3187.01001</v>
      </c>
      <c r="F128">
        <v>2398300</v>
      </c>
      <c r="G128">
        <f t="shared" si="5"/>
        <v>-17.219970000000103</v>
      </c>
      <c r="H128">
        <f t="shared" si="3"/>
        <v>2.3982999999999999</v>
      </c>
      <c r="I128">
        <f t="shared" si="4"/>
        <v>30.409912000000077</v>
      </c>
    </row>
    <row r="129" spans="1:9" x14ac:dyDescent="0.2">
      <c r="A129" s="4">
        <v>44351</v>
      </c>
      <c r="B129">
        <v>3212</v>
      </c>
      <c r="C129">
        <v>3221</v>
      </c>
      <c r="D129">
        <v>3198.8100589999999</v>
      </c>
      <c r="E129">
        <v>3206.219971</v>
      </c>
      <c r="F129">
        <v>2249700</v>
      </c>
      <c r="G129">
        <f t="shared" si="5"/>
        <v>-5.7800290000000132</v>
      </c>
      <c r="H129">
        <f t="shared" si="3"/>
        <v>2.2496999999999998</v>
      </c>
      <c r="I129">
        <f t="shared" si="4"/>
        <v>22.18994100000009</v>
      </c>
    </row>
    <row r="130" spans="1:9" x14ac:dyDescent="0.2">
      <c r="A130" s="4">
        <v>44354</v>
      </c>
      <c r="B130">
        <v>3197.330078</v>
      </c>
      <c r="C130">
        <v>3208</v>
      </c>
      <c r="D130">
        <v>3172.1999510000001</v>
      </c>
      <c r="E130">
        <v>3198.01001</v>
      </c>
      <c r="F130">
        <v>2215800</v>
      </c>
      <c r="G130">
        <f t="shared" si="5"/>
        <v>0.67993200000000797</v>
      </c>
      <c r="H130">
        <f t="shared" ref="H130:H193" si="6">F130/1000000</f>
        <v>2.2158000000000002</v>
      </c>
      <c r="I130">
        <f t="shared" ref="I130:I193" si="7">C130-D130</f>
        <v>35.800048999999944</v>
      </c>
    </row>
    <row r="131" spans="1:9" x14ac:dyDescent="0.2">
      <c r="A131" s="4">
        <v>44355</v>
      </c>
      <c r="B131">
        <v>3222.610107</v>
      </c>
      <c r="C131">
        <v>3279.530029</v>
      </c>
      <c r="D131">
        <v>3218.01001</v>
      </c>
      <c r="E131">
        <v>3264.110107</v>
      </c>
      <c r="F131">
        <v>3416700</v>
      </c>
      <c r="G131">
        <f t="shared" ref="G131:G194" si="8">E131-B131</f>
        <v>41.5</v>
      </c>
      <c r="H131">
        <f t="shared" si="6"/>
        <v>3.4167000000000001</v>
      </c>
      <c r="I131">
        <f t="shared" si="7"/>
        <v>61.520019000000048</v>
      </c>
    </row>
    <row r="132" spans="1:9" x14ac:dyDescent="0.2">
      <c r="A132" s="4">
        <v>44356</v>
      </c>
      <c r="B132">
        <v>3272.8701169999999</v>
      </c>
      <c r="C132">
        <v>3297.580078</v>
      </c>
      <c r="D132">
        <v>3270.6999510000001</v>
      </c>
      <c r="E132">
        <v>3281.1499020000001</v>
      </c>
      <c r="F132">
        <v>2455500</v>
      </c>
      <c r="G132">
        <f t="shared" si="8"/>
        <v>8.2797850000001745</v>
      </c>
      <c r="H132">
        <f t="shared" si="6"/>
        <v>2.4554999999999998</v>
      </c>
      <c r="I132">
        <f t="shared" si="7"/>
        <v>26.880126999999902</v>
      </c>
    </row>
    <row r="133" spans="1:9" x14ac:dyDescent="0.2">
      <c r="A133" s="4">
        <v>44357</v>
      </c>
      <c r="B133">
        <v>3282.01001</v>
      </c>
      <c r="C133">
        <v>3351</v>
      </c>
      <c r="D133">
        <v>3281.1499020000001</v>
      </c>
      <c r="E133">
        <v>3349.6499020000001</v>
      </c>
      <c r="F133">
        <v>3476500</v>
      </c>
      <c r="G133">
        <f t="shared" si="8"/>
        <v>67.639892000000145</v>
      </c>
      <c r="H133">
        <f t="shared" si="6"/>
        <v>3.4765000000000001</v>
      </c>
      <c r="I133">
        <f t="shared" si="7"/>
        <v>69.850097999999889</v>
      </c>
    </row>
    <row r="134" spans="1:9" x14ac:dyDescent="0.2">
      <c r="A134" s="4">
        <v>44358</v>
      </c>
      <c r="B134">
        <v>3349.6499020000001</v>
      </c>
      <c r="C134">
        <v>3366.580078</v>
      </c>
      <c r="D134">
        <v>3333.4499510000001</v>
      </c>
      <c r="E134">
        <v>3346.830078</v>
      </c>
      <c r="F134">
        <v>2817400</v>
      </c>
      <c r="G134">
        <f t="shared" si="8"/>
        <v>-2.8198240000001533</v>
      </c>
      <c r="H134">
        <f t="shared" si="6"/>
        <v>2.8174000000000001</v>
      </c>
      <c r="I134">
        <f t="shared" si="7"/>
        <v>33.130126999999902</v>
      </c>
    </row>
    <row r="135" spans="1:9" x14ac:dyDescent="0.2">
      <c r="A135" s="4">
        <v>44361</v>
      </c>
      <c r="B135">
        <v>3346.830078</v>
      </c>
      <c r="C135">
        <v>3385</v>
      </c>
      <c r="D135">
        <v>3335.5</v>
      </c>
      <c r="E135">
        <v>3383.8701169999999</v>
      </c>
      <c r="F135">
        <v>2569700</v>
      </c>
      <c r="G135">
        <f t="shared" si="8"/>
        <v>37.040038999999979</v>
      </c>
      <c r="H135">
        <f t="shared" si="6"/>
        <v>2.5697000000000001</v>
      </c>
      <c r="I135">
        <f t="shared" si="7"/>
        <v>49.5</v>
      </c>
    </row>
    <row r="136" spans="1:9" x14ac:dyDescent="0.2">
      <c r="A136" s="4">
        <v>44362</v>
      </c>
      <c r="B136">
        <v>3384</v>
      </c>
      <c r="C136">
        <v>3396.98999</v>
      </c>
      <c r="D136">
        <v>3363.110107</v>
      </c>
      <c r="E136">
        <v>3383.1298830000001</v>
      </c>
      <c r="F136">
        <v>2426200</v>
      </c>
      <c r="G136">
        <f t="shared" si="8"/>
        <v>-0.87011699999993652</v>
      </c>
      <c r="H136">
        <f t="shared" si="6"/>
        <v>2.4262000000000001</v>
      </c>
      <c r="I136">
        <f t="shared" si="7"/>
        <v>33.879883000000063</v>
      </c>
    </row>
    <row r="137" spans="1:9" x14ac:dyDescent="0.2">
      <c r="A137" s="4">
        <v>44363</v>
      </c>
      <c r="B137">
        <v>3392</v>
      </c>
      <c r="C137">
        <v>3426.3500979999999</v>
      </c>
      <c r="D137">
        <v>3360.530029</v>
      </c>
      <c r="E137">
        <v>3415.25</v>
      </c>
      <c r="F137">
        <v>4202800</v>
      </c>
      <c r="G137">
        <f t="shared" si="8"/>
        <v>23.25</v>
      </c>
      <c r="H137">
        <f t="shared" si="6"/>
        <v>4.2027999999999999</v>
      </c>
      <c r="I137">
        <f t="shared" si="7"/>
        <v>65.820068999999876</v>
      </c>
    </row>
    <row r="138" spans="1:9" x14ac:dyDescent="0.2">
      <c r="A138" s="4">
        <v>44364</v>
      </c>
      <c r="B138">
        <v>3403.179932</v>
      </c>
      <c r="C138">
        <v>3497.1999510000001</v>
      </c>
      <c r="D138">
        <v>3401</v>
      </c>
      <c r="E138">
        <v>3489.23999</v>
      </c>
      <c r="F138">
        <v>5136500</v>
      </c>
      <c r="G138">
        <f t="shared" si="8"/>
        <v>86.060058000000026</v>
      </c>
      <c r="H138">
        <f t="shared" si="6"/>
        <v>5.1364999999999998</v>
      </c>
      <c r="I138">
        <f t="shared" si="7"/>
        <v>96.199951000000056</v>
      </c>
    </row>
    <row r="139" spans="1:9" x14ac:dyDescent="0.2">
      <c r="A139" s="4">
        <v>44365</v>
      </c>
      <c r="B139">
        <v>3479.98999</v>
      </c>
      <c r="C139">
        <v>3507</v>
      </c>
      <c r="D139">
        <v>3473.709961</v>
      </c>
      <c r="E139">
        <v>3486.8999020000001</v>
      </c>
      <c r="F139">
        <v>5247700</v>
      </c>
      <c r="G139">
        <f t="shared" si="8"/>
        <v>6.9099120000000767</v>
      </c>
      <c r="H139">
        <f t="shared" si="6"/>
        <v>5.2477</v>
      </c>
      <c r="I139">
        <f t="shared" si="7"/>
        <v>33.290038999999979</v>
      </c>
    </row>
    <row r="140" spans="1:9" x14ac:dyDescent="0.2">
      <c r="A140" s="4">
        <v>44368</v>
      </c>
      <c r="B140">
        <v>3476.419922</v>
      </c>
      <c r="C140">
        <v>3482</v>
      </c>
      <c r="D140">
        <v>3434</v>
      </c>
      <c r="E140">
        <v>3453.959961</v>
      </c>
      <c r="F140">
        <v>3277100</v>
      </c>
      <c r="G140">
        <f t="shared" si="8"/>
        <v>-22.459961000000021</v>
      </c>
      <c r="H140">
        <f t="shared" si="6"/>
        <v>3.2770999999999999</v>
      </c>
      <c r="I140">
        <f t="shared" si="7"/>
        <v>48</v>
      </c>
    </row>
    <row r="141" spans="1:9" x14ac:dyDescent="0.2">
      <c r="A141" s="4">
        <v>44369</v>
      </c>
      <c r="B141">
        <v>3458.0600589999999</v>
      </c>
      <c r="C141">
        <v>3523.780029</v>
      </c>
      <c r="D141">
        <v>3456.0900879999999</v>
      </c>
      <c r="E141">
        <v>3505.4399410000001</v>
      </c>
      <c r="F141">
        <v>3345100</v>
      </c>
      <c r="G141">
        <f t="shared" si="8"/>
        <v>47.37988200000018</v>
      </c>
      <c r="H141">
        <f t="shared" si="6"/>
        <v>3.3451</v>
      </c>
      <c r="I141">
        <f t="shared" si="7"/>
        <v>67.68994100000009</v>
      </c>
    </row>
    <row r="142" spans="1:9" x14ac:dyDescent="0.2">
      <c r="A142" s="4">
        <v>44370</v>
      </c>
      <c r="B142">
        <v>3505</v>
      </c>
      <c r="C142">
        <v>3521</v>
      </c>
      <c r="D142">
        <v>3483.1999510000001</v>
      </c>
      <c r="E142">
        <v>3503.820068</v>
      </c>
      <c r="F142">
        <v>2813300</v>
      </c>
      <c r="G142">
        <f t="shared" si="8"/>
        <v>-1.179932000000008</v>
      </c>
      <c r="H142">
        <f t="shared" si="6"/>
        <v>2.8132999999999999</v>
      </c>
      <c r="I142">
        <f t="shared" si="7"/>
        <v>37.800048999999944</v>
      </c>
    </row>
    <row r="143" spans="1:9" x14ac:dyDescent="0.2">
      <c r="A143" s="4">
        <v>44371</v>
      </c>
      <c r="B143">
        <v>3507.639893</v>
      </c>
      <c r="C143">
        <v>3524.860107</v>
      </c>
      <c r="D143">
        <v>3430.8500979999999</v>
      </c>
      <c r="E143">
        <v>3449.080078</v>
      </c>
      <c r="F143">
        <v>3832000</v>
      </c>
      <c r="G143">
        <f t="shared" si="8"/>
        <v>-58.559815000000071</v>
      </c>
      <c r="H143">
        <f t="shared" si="6"/>
        <v>3.8319999999999999</v>
      </c>
      <c r="I143">
        <f t="shared" si="7"/>
        <v>94.010009000000082</v>
      </c>
    </row>
    <row r="144" spans="1:9" x14ac:dyDescent="0.2">
      <c r="A144" s="4">
        <v>44372</v>
      </c>
      <c r="B144">
        <v>3464</v>
      </c>
      <c r="C144">
        <v>3464.820068</v>
      </c>
      <c r="D144">
        <v>3394.179932</v>
      </c>
      <c r="E144">
        <v>3401.459961</v>
      </c>
      <c r="F144">
        <v>3941000</v>
      </c>
      <c r="G144">
        <f t="shared" si="8"/>
        <v>-62.540038999999979</v>
      </c>
      <c r="H144">
        <f t="shared" si="6"/>
        <v>3.9409999999999998</v>
      </c>
      <c r="I144">
        <f t="shared" si="7"/>
        <v>70.640135999999984</v>
      </c>
    </row>
    <row r="145" spans="1:9" x14ac:dyDescent="0.2">
      <c r="A145" s="4">
        <v>44375</v>
      </c>
      <c r="B145">
        <v>3416</v>
      </c>
      <c r="C145">
        <v>3448</v>
      </c>
      <c r="D145">
        <v>3413.51001</v>
      </c>
      <c r="E145">
        <v>3443.889893</v>
      </c>
      <c r="F145">
        <v>2242800</v>
      </c>
      <c r="G145">
        <f t="shared" si="8"/>
        <v>27.889893000000029</v>
      </c>
      <c r="H145">
        <f t="shared" si="6"/>
        <v>2.2427999999999999</v>
      </c>
      <c r="I145">
        <f t="shared" si="7"/>
        <v>34.489990000000034</v>
      </c>
    </row>
    <row r="146" spans="1:9" x14ac:dyDescent="0.2">
      <c r="A146" s="4">
        <v>44376</v>
      </c>
      <c r="B146">
        <v>3438.820068</v>
      </c>
      <c r="C146">
        <v>3456.030029</v>
      </c>
      <c r="D146">
        <v>3423.030029</v>
      </c>
      <c r="E146">
        <v>3448.139893</v>
      </c>
      <c r="F146">
        <v>2098400</v>
      </c>
      <c r="G146">
        <f t="shared" si="8"/>
        <v>9.3198250000000371</v>
      </c>
      <c r="H146">
        <f t="shared" si="6"/>
        <v>2.0983999999999998</v>
      </c>
      <c r="I146">
        <f t="shared" si="7"/>
        <v>33</v>
      </c>
    </row>
    <row r="147" spans="1:9" x14ac:dyDescent="0.2">
      <c r="A147" s="4">
        <v>44377</v>
      </c>
      <c r="B147">
        <v>3441.0600589999999</v>
      </c>
      <c r="C147">
        <v>3471.6000979999999</v>
      </c>
      <c r="D147">
        <v>3435</v>
      </c>
      <c r="E147">
        <v>3440.1599120000001</v>
      </c>
      <c r="F147">
        <v>2404000</v>
      </c>
      <c r="G147">
        <f t="shared" si="8"/>
        <v>-0.9001469999998335</v>
      </c>
      <c r="H147">
        <f t="shared" si="6"/>
        <v>2.4039999999999999</v>
      </c>
      <c r="I147">
        <f t="shared" si="7"/>
        <v>36.600097999999889</v>
      </c>
    </row>
    <row r="148" spans="1:9" x14ac:dyDescent="0.2">
      <c r="A148" s="4">
        <v>44378</v>
      </c>
      <c r="B148">
        <v>3434.610107</v>
      </c>
      <c r="C148">
        <v>3457</v>
      </c>
      <c r="D148">
        <v>3409.419922</v>
      </c>
      <c r="E148">
        <v>3432.969971</v>
      </c>
      <c r="F148">
        <v>2037100</v>
      </c>
      <c r="G148">
        <f t="shared" si="8"/>
        <v>-1.6401359999999841</v>
      </c>
      <c r="H148">
        <f t="shared" si="6"/>
        <v>2.0371000000000001</v>
      </c>
      <c r="I148">
        <f t="shared" si="7"/>
        <v>47.580077999999958</v>
      </c>
    </row>
    <row r="149" spans="1:9" x14ac:dyDescent="0.2">
      <c r="A149" s="4">
        <v>44379</v>
      </c>
      <c r="B149">
        <v>3451.639893</v>
      </c>
      <c r="C149">
        <v>3511.719971</v>
      </c>
      <c r="D149">
        <v>3436.919922</v>
      </c>
      <c r="E149">
        <v>3510.9799800000001</v>
      </c>
      <c r="F149">
        <v>3169400</v>
      </c>
      <c r="G149">
        <f t="shared" si="8"/>
        <v>59.34008700000004</v>
      </c>
      <c r="H149">
        <f t="shared" si="6"/>
        <v>3.1694</v>
      </c>
      <c r="I149">
        <f t="shared" si="7"/>
        <v>74.800048999999944</v>
      </c>
    </row>
    <row r="150" spans="1:9" x14ac:dyDescent="0.2">
      <c r="A150" s="4">
        <v>44383</v>
      </c>
      <c r="B150">
        <v>3530.110107</v>
      </c>
      <c r="C150">
        <v>3685.4799800000001</v>
      </c>
      <c r="D150">
        <v>3529</v>
      </c>
      <c r="E150">
        <v>3675.73999</v>
      </c>
      <c r="F150">
        <v>6744800</v>
      </c>
      <c r="G150">
        <f t="shared" si="8"/>
        <v>145.62988300000006</v>
      </c>
      <c r="H150">
        <f t="shared" si="6"/>
        <v>6.7447999999999997</v>
      </c>
      <c r="I150">
        <f t="shared" si="7"/>
        <v>156.47998000000007</v>
      </c>
    </row>
    <row r="151" spans="1:9" x14ac:dyDescent="0.2">
      <c r="A151" s="4">
        <v>44384</v>
      </c>
      <c r="B151">
        <v>3717.3798830000001</v>
      </c>
      <c r="C151">
        <v>3734.1999510000001</v>
      </c>
      <c r="D151">
        <v>3678.9099120000001</v>
      </c>
      <c r="E151">
        <v>3696.580078</v>
      </c>
      <c r="F151">
        <v>5328100</v>
      </c>
      <c r="G151">
        <f t="shared" si="8"/>
        <v>-20.799805000000106</v>
      </c>
      <c r="H151">
        <f t="shared" si="6"/>
        <v>5.3281000000000001</v>
      </c>
      <c r="I151">
        <f t="shared" si="7"/>
        <v>55.290038999999979</v>
      </c>
    </row>
    <row r="152" spans="1:9" x14ac:dyDescent="0.2">
      <c r="A152" s="4">
        <v>44385</v>
      </c>
      <c r="B152">
        <v>3643.5600589999999</v>
      </c>
      <c r="C152">
        <v>3759.98999</v>
      </c>
      <c r="D152">
        <v>3621.1201169999999</v>
      </c>
      <c r="E152">
        <v>3731.4099120000001</v>
      </c>
      <c r="F152">
        <v>5180600</v>
      </c>
      <c r="G152">
        <f t="shared" si="8"/>
        <v>87.849853000000167</v>
      </c>
      <c r="H152">
        <f t="shared" si="6"/>
        <v>5.1806000000000001</v>
      </c>
      <c r="I152">
        <f t="shared" si="7"/>
        <v>138.8698730000001</v>
      </c>
    </row>
    <row r="153" spans="1:9" x14ac:dyDescent="0.2">
      <c r="A153" s="4">
        <v>44386</v>
      </c>
      <c r="B153">
        <v>3722.5200199999999</v>
      </c>
      <c r="C153">
        <v>3748</v>
      </c>
      <c r="D153">
        <v>3693.3999020000001</v>
      </c>
      <c r="E153">
        <v>3719.3400879999999</v>
      </c>
      <c r="F153">
        <v>3748200</v>
      </c>
      <c r="G153">
        <f t="shared" si="8"/>
        <v>-3.179932000000008</v>
      </c>
      <c r="H153">
        <f t="shared" si="6"/>
        <v>3.7482000000000002</v>
      </c>
      <c r="I153">
        <f t="shared" si="7"/>
        <v>54.600097999999889</v>
      </c>
    </row>
    <row r="154" spans="1:9" x14ac:dyDescent="0.2">
      <c r="A154" s="4">
        <v>44389</v>
      </c>
      <c r="B154">
        <v>3744</v>
      </c>
      <c r="C154">
        <v>3757.290039</v>
      </c>
      <c r="D154">
        <v>3696.790039</v>
      </c>
      <c r="E154">
        <v>3718.5500489999999</v>
      </c>
      <c r="F154">
        <v>2571600</v>
      </c>
      <c r="G154">
        <f t="shared" si="8"/>
        <v>-25.449951000000056</v>
      </c>
      <c r="H154">
        <f t="shared" si="6"/>
        <v>2.5716000000000001</v>
      </c>
      <c r="I154">
        <f t="shared" si="7"/>
        <v>60.5</v>
      </c>
    </row>
    <row r="155" spans="1:9" x14ac:dyDescent="0.2">
      <c r="A155" s="4">
        <v>44390</v>
      </c>
      <c r="B155">
        <v>3702.1000979999999</v>
      </c>
      <c r="C155">
        <v>3773.080078</v>
      </c>
      <c r="D155">
        <v>3671.320068</v>
      </c>
      <c r="E155">
        <v>3677.360107</v>
      </c>
      <c r="F155">
        <v>3845900</v>
      </c>
      <c r="G155">
        <f t="shared" si="8"/>
        <v>-24.739990999999918</v>
      </c>
      <c r="H155">
        <f t="shared" si="6"/>
        <v>3.8458999999999999</v>
      </c>
      <c r="I155">
        <f t="shared" si="7"/>
        <v>101.76000999999997</v>
      </c>
    </row>
    <row r="156" spans="1:9" x14ac:dyDescent="0.2">
      <c r="A156" s="4">
        <v>44391</v>
      </c>
      <c r="B156">
        <v>3708.8500979999999</v>
      </c>
      <c r="C156">
        <v>3717.6599120000001</v>
      </c>
      <c r="D156">
        <v>3660.830078</v>
      </c>
      <c r="E156">
        <v>3681.679932</v>
      </c>
      <c r="F156">
        <v>3296600</v>
      </c>
      <c r="G156">
        <f t="shared" si="8"/>
        <v>-27.170165999999881</v>
      </c>
      <c r="H156">
        <f t="shared" si="6"/>
        <v>3.2966000000000002</v>
      </c>
      <c r="I156">
        <f t="shared" si="7"/>
        <v>56.829834000000119</v>
      </c>
    </row>
    <row r="157" spans="1:9" x14ac:dyDescent="0.2">
      <c r="A157" s="4">
        <v>44392</v>
      </c>
      <c r="B157">
        <v>3694.1999510000001</v>
      </c>
      <c r="C157">
        <v>3695.3999020000001</v>
      </c>
      <c r="D157">
        <v>3620.919922</v>
      </c>
      <c r="E157">
        <v>3631.1999510000001</v>
      </c>
      <c r="F157">
        <v>3185300</v>
      </c>
      <c r="G157">
        <f t="shared" si="8"/>
        <v>-63</v>
      </c>
      <c r="H157">
        <f t="shared" si="6"/>
        <v>3.1852999999999998</v>
      </c>
      <c r="I157">
        <f t="shared" si="7"/>
        <v>74.479980000000069</v>
      </c>
    </row>
    <row r="158" spans="1:9" x14ac:dyDescent="0.2">
      <c r="A158" s="4">
        <v>44393</v>
      </c>
      <c r="B158">
        <v>3633.3100589999999</v>
      </c>
      <c r="C158">
        <v>3646.0600589999999</v>
      </c>
      <c r="D158">
        <v>3570.459961</v>
      </c>
      <c r="E158">
        <v>3573.6298830000001</v>
      </c>
      <c r="F158">
        <v>4043700</v>
      </c>
      <c r="G158">
        <f t="shared" si="8"/>
        <v>-59.680175999999847</v>
      </c>
      <c r="H158">
        <f t="shared" si="6"/>
        <v>4.0437000000000003</v>
      </c>
      <c r="I158">
        <f t="shared" si="7"/>
        <v>75.600097999999889</v>
      </c>
    </row>
    <row r="159" spans="1:9" x14ac:dyDescent="0.2">
      <c r="A159" s="4">
        <v>44396</v>
      </c>
      <c r="B159">
        <v>3532.580078</v>
      </c>
      <c r="C159">
        <v>3550.209961</v>
      </c>
      <c r="D159">
        <v>3499.1599120000001</v>
      </c>
      <c r="E159">
        <v>3549.5900879999999</v>
      </c>
      <c r="F159">
        <v>3784600</v>
      </c>
      <c r="G159">
        <f t="shared" si="8"/>
        <v>17.010009999999966</v>
      </c>
      <c r="H159">
        <f t="shared" si="6"/>
        <v>3.7846000000000002</v>
      </c>
      <c r="I159">
        <f t="shared" si="7"/>
        <v>51.050048999999944</v>
      </c>
    </row>
    <row r="160" spans="1:9" x14ac:dyDescent="0.2">
      <c r="A160" s="4">
        <v>44397</v>
      </c>
      <c r="B160">
        <v>3567.320068</v>
      </c>
      <c r="C160">
        <v>3592</v>
      </c>
      <c r="D160">
        <v>3518</v>
      </c>
      <c r="E160">
        <v>3573.1899410000001</v>
      </c>
      <c r="F160">
        <v>3255700</v>
      </c>
      <c r="G160">
        <f t="shared" si="8"/>
        <v>5.8698730000000978</v>
      </c>
      <c r="H160">
        <f t="shared" si="6"/>
        <v>3.2557</v>
      </c>
      <c r="I160">
        <f t="shared" si="7"/>
        <v>74</v>
      </c>
    </row>
    <row r="161" spans="1:9" x14ac:dyDescent="0.2">
      <c r="A161" s="4">
        <v>44398</v>
      </c>
      <c r="B161">
        <v>3576.3798830000001</v>
      </c>
      <c r="C161">
        <v>3586.4499510000001</v>
      </c>
      <c r="D161">
        <v>3543.639893</v>
      </c>
      <c r="E161">
        <v>3585.1999510000001</v>
      </c>
      <c r="F161">
        <v>2319000</v>
      </c>
      <c r="G161">
        <f t="shared" si="8"/>
        <v>8.820067999999992</v>
      </c>
      <c r="H161">
        <f t="shared" si="6"/>
        <v>2.319</v>
      </c>
      <c r="I161">
        <f t="shared" si="7"/>
        <v>42.810058000000026</v>
      </c>
    </row>
    <row r="162" spans="1:9" x14ac:dyDescent="0.2">
      <c r="A162" s="4">
        <v>44399</v>
      </c>
      <c r="B162">
        <v>3587.2299800000001</v>
      </c>
      <c r="C162">
        <v>3640.0200199999999</v>
      </c>
      <c r="D162">
        <v>3582.2700199999999</v>
      </c>
      <c r="E162">
        <v>3638.030029</v>
      </c>
      <c r="F162">
        <v>3265400</v>
      </c>
      <c r="G162">
        <f t="shared" si="8"/>
        <v>50.800048999999944</v>
      </c>
      <c r="H162">
        <f t="shared" si="6"/>
        <v>3.2654000000000001</v>
      </c>
      <c r="I162">
        <f t="shared" si="7"/>
        <v>57.75</v>
      </c>
    </row>
    <row r="163" spans="1:9" x14ac:dyDescent="0.2">
      <c r="A163" s="4">
        <v>44400</v>
      </c>
      <c r="B163">
        <v>3640</v>
      </c>
      <c r="C163">
        <v>3666.110107</v>
      </c>
      <c r="D163">
        <v>3622.040039</v>
      </c>
      <c r="E163">
        <v>3656.639893</v>
      </c>
      <c r="F163">
        <v>2436300</v>
      </c>
      <c r="G163">
        <f t="shared" si="8"/>
        <v>16.639893000000029</v>
      </c>
      <c r="H163">
        <f t="shared" si="6"/>
        <v>2.4363000000000001</v>
      </c>
      <c r="I163">
        <f t="shared" si="7"/>
        <v>44.070067999999992</v>
      </c>
    </row>
    <row r="164" spans="1:9" x14ac:dyDescent="0.2">
      <c r="A164" s="4">
        <v>44403</v>
      </c>
      <c r="B164">
        <v>3673.169922</v>
      </c>
      <c r="C164">
        <v>3712.080078</v>
      </c>
      <c r="D164">
        <v>3647.25</v>
      </c>
      <c r="E164">
        <v>3699.820068</v>
      </c>
      <c r="F164">
        <v>2900100</v>
      </c>
      <c r="G164">
        <f t="shared" si="8"/>
        <v>26.65014599999995</v>
      </c>
      <c r="H164">
        <f t="shared" si="6"/>
        <v>2.9001000000000001</v>
      </c>
      <c r="I164">
        <f t="shared" si="7"/>
        <v>64.830077999999958</v>
      </c>
    </row>
    <row r="165" spans="1:9" x14ac:dyDescent="0.2">
      <c r="A165" s="4">
        <v>44404</v>
      </c>
      <c r="B165">
        <v>3698.5</v>
      </c>
      <c r="C165">
        <v>3698.5</v>
      </c>
      <c r="D165">
        <v>3586.1499020000001</v>
      </c>
      <c r="E165">
        <v>3626.389893</v>
      </c>
      <c r="F165">
        <v>4131900</v>
      </c>
      <c r="G165">
        <f t="shared" si="8"/>
        <v>-72.110106999999971</v>
      </c>
      <c r="H165">
        <f t="shared" si="6"/>
        <v>4.1318999999999999</v>
      </c>
      <c r="I165">
        <f t="shared" si="7"/>
        <v>112.35009799999989</v>
      </c>
    </row>
    <row r="166" spans="1:9" x14ac:dyDescent="0.2">
      <c r="A166" s="4">
        <v>44405</v>
      </c>
      <c r="B166">
        <v>3633.780029</v>
      </c>
      <c r="C166">
        <v>3658.419922</v>
      </c>
      <c r="D166">
        <v>3601</v>
      </c>
      <c r="E166">
        <v>3630.320068</v>
      </c>
      <c r="F166">
        <v>2999400</v>
      </c>
      <c r="G166">
        <f t="shared" si="8"/>
        <v>-3.4599610000000212</v>
      </c>
      <c r="H166">
        <f t="shared" si="6"/>
        <v>2.9994000000000001</v>
      </c>
      <c r="I166">
        <f t="shared" si="7"/>
        <v>57.419922000000042</v>
      </c>
    </row>
    <row r="167" spans="1:9" x14ac:dyDescent="0.2">
      <c r="A167" s="4">
        <v>44406</v>
      </c>
      <c r="B167">
        <v>3627.75</v>
      </c>
      <c r="C167">
        <v>3637.9499510000001</v>
      </c>
      <c r="D167">
        <v>3580.01001</v>
      </c>
      <c r="E167">
        <v>3599.919922</v>
      </c>
      <c r="F167">
        <v>5520000</v>
      </c>
      <c r="G167">
        <f t="shared" si="8"/>
        <v>-27.830077999999958</v>
      </c>
      <c r="H167">
        <f t="shared" si="6"/>
        <v>5.52</v>
      </c>
      <c r="I167">
        <f t="shared" si="7"/>
        <v>57.93994100000009</v>
      </c>
    </row>
    <row r="168" spans="1:9" x14ac:dyDescent="0.2">
      <c r="A168" s="4">
        <v>44407</v>
      </c>
      <c r="B168">
        <v>3347.9499510000001</v>
      </c>
      <c r="C168">
        <v>3368.139893</v>
      </c>
      <c r="D168">
        <v>3306.9799800000001</v>
      </c>
      <c r="E168">
        <v>3327.5900879999999</v>
      </c>
      <c r="F168">
        <v>9957100</v>
      </c>
      <c r="G168">
        <f t="shared" si="8"/>
        <v>-20.359863000000132</v>
      </c>
      <c r="H168">
        <f t="shared" si="6"/>
        <v>9.9571000000000005</v>
      </c>
      <c r="I168">
        <f t="shared" si="7"/>
        <v>61.15991299999996</v>
      </c>
    </row>
    <row r="169" spans="1:9" x14ac:dyDescent="0.2">
      <c r="A169" s="4">
        <v>44410</v>
      </c>
      <c r="B169">
        <v>3353.1000979999999</v>
      </c>
      <c r="C169">
        <v>3358.919922</v>
      </c>
      <c r="D169">
        <v>3317</v>
      </c>
      <c r="E169">
        <v>3331.4799800000001</v>
      </c>
      <c r="F169">
        <v>3353900</v>
      </c>
      <c r="G169">
        <f t="shared" si="8"/>
        <v>-21.62011799999982</v>
      </c>
      <c r="H169">
        <f t="shared" si="6"/>
        <v>3.3538999999999999</v>
      </c>
      <c r="I169">
        <f t="shared" si="7"/>
        <v>41.919922000000042</v>
      </c>
    </row>
    <row r="170" spans="1:9" x14ac:dyDescent="0.2">
      <c r="A170" s="4">
        <v>44411</v>
      </c>
      <c r="B170">
        <v>3340.719971</v>
      </c>
      <c r="C170">
        <v>3391</v>
      </c>
      <c r="D170">
        <v>3299.7700199999999</v>
      </c>
      <c r="E170">
        <v>3366.23999</v>
      </c>
      <c r="F170">
        <v>4157300</v>
      </c>
      <c r="G170">
        <f t="shared" si="8"/>
        <v>25.520019000000048</v>
      </c>
      <c r="H170">
        <f t="shared" si="6"/>
        <v>4.1573000000000002</v>
      </c>
      <c r="I170">
        <f t="shared" si="7"/>
        <v>91.229980000000069</v>
      </c>
    </row>
    <row r="171" spans="1:9" x14ac:dyDescent="0.2">
      <c r="A171" s="4">
        <v>44412</v>
      </c>
      <c r="B171">
        <v>3379.3500979999999</v>
      </c>
      <c r="C171">
        <v>3388.8798830000001</v>
      </c>
      <c r="D171">
        <v>3345.5600589999999</v>
      </c>
      <c r="E171">
        <v>3354.719971</v>
      </c>
      <c r="F171">
        <v>2183900</v>
      </c>
      <c r="G171">
        <f t="shared" si="8"/>
        <v>-24.630126999999902</v>
      </c>
      <c r="H171">
        <f t="shared" si="6"/>
        <v>2.1839</v>
      </c>
      <c r="I171">
        <f t="shared" si="7"/>
        <v>43.319824000000153</v>
      </c>
    </row>
    <row r="172" spans="1:9" x14ac:dyDescent="0.2">
      <c r="A172" s="4">
        <v>44413</v>
      </c>
      <c r="B172">
        <v>3356.219971</v>
      </c>
      <c r="C172">
        <v>3389</v>
      </c>
      <c r="D172">
        <v>3340.919922</v>
      </c>
      <c r="E172">
        <v>3375.98999</v>
      </c>
      <c r="F172">
        <v>2433500</v>
      </c>
      <c r="G172">
        <f t="shared" si="8"/>
        <v>19.770019000000048</v>
      </c>
      <c r="H172">
        <f t="shared" si="6"/>
        <v>2.4335</v>
      </c>
      <c r="I172">
        <f t="shared" si="7"/>
        <v>48.080077999999958</v>
      </c>
    </row>
    <row r="173" spans="1:9" x14ac:dyDescent="0.2">
      <c r="A173" s="4">
        <v>44414</v>
      </c>
      <c r="B173">
        <v>3375</v>
      </c>
      <c r="C173">
        <v>3375</v>
      </c>
      <c r="D173">
        <v>3329.040039</v>
      </c>
      <c r="E173">
        <v>3344.9399410000001</v>
      </c>
      <c r="F173">
        <v>2635300</v>
      </c>
      <c r="G173">
        <f t="shared" si="8"/>
        <v>-30.06005899999991</v>
      </c>
      <c r="H173">
        <f t="shared" si="6"/>
        <v>2.6353</v>
      </c>
      <c r="I173">
        <f t="shared" si="7"/>
        <v>45.959961000000021</v>
      </c>
    </row>
    <row r="174" spans="1:9" x14ac:dyDescent="0.2">
      <c r="A174" s="4">
        <v>44417</v>
      </c>
      <c r="B174">
        <v>3343.610107</v>
      </c>
      <c r="C174">
        <v>3354.8798830000001</v>
      </c>
      <c r="D174">
        <v>3328.5200199999999</v>
      </c>
      <c r="E174">
        <v>3341.8701169999999</v>
      </c>
      <c r="F174">
        <v>2148200</v>
      </c>
      <c r="G174">
        <f t="shared" si="8"/>
        <v>-1.7399900000000343</v>
      </c>
      <c r="H174">
        <f t="shared" si="6"/>
        <v>2.1482000000000001</v>
      </c>
      <c r="I174">
        <f t="shared" si="7"/>
        <v>26.359863000000132</v>
      </c>
    </row>
    <row r="175" spans="1:9" x14ac:dyDescent="0.2">
      <c r="A175" s="4">
        <v>44418</v>
      </c>
      <c r="B175">
        <v>3345.01001</v>
      </c>
      <c r="C175">
        <v>3358</v>
      </c>
      <c r="D175">
        <v>3315</v>
      </c>
      <c r="E175">
        <v>3320.679932</v>
      </c>
      <c r="F175">
        <v>2412600</v>
      </c>
      <c r="G175">
        <f t="shared" si="8"/>
        <v>-24.330077999999958</v>
      </c>
      <c r="H175">
        <f t="shared" si="6"/>
        <v>2.4125999999999999</v>
      </c>
      <c r="I175">
        <f t="shared" si="7"/>
        <v>43</v>
      </c>
    </row>
    <row r="176" spans="1:9" x14ac:dyDescent="0.2">
      <c r="A176" s="4">
        <v>44419</v>
      </c>
      <c r="B176">
        <v>3331.4499510000001</v>
      </c>
      <c r="C176">
        <v>3337.6999510000001</v>
      </c>
      <c r="D176">
        <v>3277.790039</v>
      </c>
      <c r="E176">
        <v>3292.110107</v>
      </c>
      <c r="F176">
        <v>2947200</v>
      </c>
      <c r="G176">
        <f t="shared" si="8"/>
        <v>-39.339844000000085</v>
      </c>
      <c r="H176">
        <f t="shared" si="6"/>
        <v>2.9472</v>
      </c>
      <c r="I176">
        <f t="shared" si="7"/>
        <v>59.909912000000077</v>
      </c>
    </row>
    <row r="177" spans="1:9" x14ac:dyDescent="0.2">
      <c r="A177" s="4">
        <v>44420</v>
      </c>
      <c r="B177">
        <v>3290</v>
      </c>
      <c r="C177">
        <v>3314.51001</v>
      </c>
      <c r="D177">
        <v>3269.669922</v>
      </c>
      <c r="E177">
        <v>3303.5</v>
      </c>
      <c r="F177">
        <v>2314100</v>
      </c>
      <c r="G177">
        <f t="shared" si="8"/>
        <v>13.5</v>
      </c>
      <c r="H177">
        <f t="shared" si="6"/>
        <v>2.3140999999999998</v>
      </c>
      <c r="I177">
        <f t="shared" si="7"/>
        <v>44.840087999999923</v>
      </c>
    </row>
    <row r="178" spans="1:9" x14ac:dyDescent="0.2">
      <c r="A178" s="4">
        <v>44421</v>
      </c>
      <c r="B178">
        <v>3305.669922</v>
      </c>
      <c r="C178">
        <v>3306.070068</v>
      </c>
      <c r="D178">
        <v>3283</v>
      </c>
      <c r="E178">
        <v>3293.969971</v>
      </c>
      <c r="F178">
        <v>2052800</v>
      </c>
      <c r="G178">
        <f t="shared" si="8"/>
        <v>-11.699951000000056</v>
      </c>
      <c r="H178">
        <f t="shared" si="6"/>
        <v>2.0528</v>
      </c>
      <c r="I178">
        <f t="shared" si="7"/>
        <v>23.070067999999992</v>
      </c>
    </row>
    <row r="179" spans="1:9" x14ac:dyDescent="0.2">
      <c r="A179" s="4">
        <v>44424</v>
      </c>
      <c r="B179">
        <v>3283</v>
      </c>
      <c r="C179">
        <v>3300</v>
      </c>
      <c r="D179">
        <v>3211.1298830000001</v>
      </c>
      <c r="E179">
        <v>3298.98999</v>
      </c>
      <c r="F179">
        <v>3319700</v>
      </c>
      <c r="G179">
        <f t="shared" si="8"/>
        <v>15.989990000000034</v>
      </c>
      <c r="H179">
        <f t="shared" si="6"/>
        <v>3.3197000000000001</v>
      </c>
      <c r="I179">
        <f t="shared" si="7"/>
        <v>88.870116999999937</v>
      </c>
    </row>
    <row r="180" spans="1:9" x14ac:dyDescent="0.2">
      <c r="A180" s="4">
        <v>44425</v>
      </c>
      <c r="B180">
        <v>3277.5</v>
      </c>
      <c r="C180">
        <v>3280.48999</v>
      </c>
      <c r="D180">
        <v>3225.679932</v>
      </c>
      <c r="E180">
        <v>3241.959961</v>
      </c>
      <c r="F180">
        <v>3387900</v>
      </c>
      <c r="G180">
        <f t="shared" si="8"/>
        <v>-35.540038999999979</v>
      </c>
      <c r="H180">
        <f t="shared" si="6"/>
        <v>3.3879000000000001</v>
      </c>
      <c r="I180">
        <f t="shared" si="7"/>
        <v>54.810058000000026</v>
      </c>
    </row>
    <row r="181" spans="1:9" x14ac:dyDescent="0.2">
      <c r="A181" s="4">
        <v>44426</v>
      </c>
      <c r="B181">
        <v>3241.98999</v>
      </c>
      <c r="C181">
        <v>3254.1000979999999</v>
      </c>
      <c r="D181">
        <v>3200</v>
      </c>
      <c r="E181">
        <v>3201.219971</v>
      </c>
      <c r="F181">
        <v>2804300</v>
      </c>
      <c r="G181">
        <f t="shared" si="8"/>
        <v>-40.770019000000048</v>
      </c>
      <c r="H181">
        <f t="shared" si="6"/>
        <v>2.8043</v>
      </c>
      <c r="I181">
        <f t="shared" si="7"/>
        <v>54.100097999999889</v>
      </c>
    </row>
    <row r="182" spans="1:9" x14ac:dyDescent="0.2">
      <c r="A182" s="4">
        <v>44427</v>
      </c>
      <c r="B182">
        <v>3194.0200199999999</v>
      </c>
      <c r="C182">
        <v>3233</v>
      </c>
      <c r="D182">
        <v>3182.459961</v>
      </c>
      <c r="E182">
        <v>3187.75</v>
      </c>
      <c r="F182">
        <v>3782900</v>
      </c>
      <c r="G182">
        <f t="shared" si="8"/>
        <v>-6.2700199999999313</v>
      </c>
      <c r="H182">
        <f t="shared" si="6"/>
        <v>3.7829000000000002</v>
      </c>
      <c r="I182">
        <f t="shared" si="7"/>
        <v>50.540038999999979</v>
      </c>
    </row>
    <row r="183" spans="1:9" x14ac:dyDescent="0.2">
      <c r="A183" s="4">
        <v>44428</v>
      </c>
      <c r="B183">
        <v>3203.8701169999999</v>
      </c>
      <c r="C183">
        <v>3207.8100589999999</v>
      </c>
      <c r="D183">
        <v>3175.76001</v>
      </c>
      <c r="E183">
        <v>3199.9499510000001</v>
      </c>
      <c r="F183">
        <v>3341200</v>
      </c>
      <c r="G183">
        <f t="shared" si="8"/>
        <v>-3.920165999999881</v>
      </c>
      <c r="H183">
        <f t="shared" si="6"/>
        <v>3.3412000000000002</v>
      </c>
      <c r="I183">
        <f t="shared" si="7"/>
        <v>32.050048999999944</v>
      </c>
    </row>
    <row r="184" spans="1:9" x14ac:dyDescent="0.2">
      <c r="A184" s="4">
        <v>44431</v>
      </c>
      <c r="B184">
        <v>3211.8999020000001</v>
      </c>
      <c r="C184">
        <v>3280.8999020000001</v>
      </c>
      <c r="D184">
        <v>3210.01001</v>
      </c>
      <c r="E184">
        <v>3265.8701169999999</v>
      </c>
      <c r="F184">
        <v>3268100</v>
      </c>
      <c r="G184">
        <f t="shared" si="8"/>
        <v>53.970214999999826</v>
      </c>
      <c r="H184">
        <f t="shared" si="6"/>
        <v>3.2681</v>
      </c>
      <c r="I184">
        <f t="shared" si="7"/>
        <v>70.889892000000145</v>
      </c>
    </row>
    <row r="185" spans="1:9" x14ac:dyDescent="0.2">
      <c r="A185" s="4">
        <v>44432</v>
      </c>
      <c r="B185">
        <v>3280</v>
      </c>
      <c r="C185">
        <v>3315.48999</v>
      </c>
      <c r="D185">
        <v>3274.580078</v>
      </c>
      <c r="E185">
        <v>3305.780029</v>
      </c>
      <c r="F185">
        <v>2551800</v>
      </c>
      <c r="G185">
        <f t="shared" si="8"/>
        <v>25.780029000000013</v>
      </c>
      <c r="H185">
        <f t="shared" si="6"/>
        <v>2.5518000000000001</v>
      </c>
      <c r="I185">
        <f t="shared" si="7"/>
        <v>40.909912000000077</v>
      </c>
    </row>
    <row r="186" spans="1:9" x14ac:dyDescent="0.2">
      <c r="A186" s="4">
        <v>44433</v>
      </c>
      <c r="B186">
        <v>3309.8701169999999</v>
      </c>
      <c r="C186">
        <v>3321</v>
      </c>
      <c r="D186">
        <v>3286.1499020000001</v>
      </c>
      <c r="E186">
        <v>3299.179932</v>
      </c>
      <c r="F186">
        <v>1680300</v>
      </c>
      <c r="G186">
        <f t="shared" si="8"/>
        <v>-10.690184999999929</v>
      </c>
      <c r="H186">
        <f t="shared" si="6"/>
        <v>1.6802999999999999</v>
      </c>
      <c r="I186">
        <f t="shared" si="7"/>
        <v>34.850097999999889</v>
      </c>
    </row>
    <row r="187" spans="1:9" x14ac:dyDescent="0.2">
      <c r="A187" s="4">
        <v>44434</v>
      </c>
      <c r="B187">
        <v>3299</v>
      </c>
      <c r="C187">
        <v>3332</v>
      </c>
      <c r="D187">
        <v>3296</v>
      </c>
      <c r="E187">
        <v>3316</v>
      </c>
      <c r="F187">
        <v>2098800</v>
      </c>
      <c r="G187">
        <f t="shared" si="8"/>
        <v>17</v>
      </c>
      <c r="H187">
        <f t="shared" si="6"/>
        <v>2.0988000000000002</v>
      </c>
      <c r="I187">
        <f t="shared" si="7"/>
        <v>36</v>
      </c>
    </row>
    <row r="188" spans="1:9" x14ac:dyDescent="0.2">
      <c r="A188" s="4">
        <v>44435</v>
      </c>
      <c r="B188">
        <v>3333.2299800000001</v>
      </c>
      <c r="C188">
        <v>3352.320068</v>
      </c>
      <c r="D188">
        <v>3313.75</v>
      </c>
      <c r="E188">
        <v>3349.6298830000001</v>
      </c>
      <c r="F188">
        <v>2391300</v>
      </c>
      <c r="G188">
        <f t="shared" si="8"/>
        <v>16.399902999999995</v>
      </c>
      <c r="H188">
        <f t="shared" si="6"/>
        <v>2.3913000000000002</v>
      </c>
      <c r="I188">
        <f t="shared" si="7"/>
        <v>38.570067999999992</v>
      </c>
    </row>
    <row r="189" spans="1:9" x14ac:dyDescent="0.2">
      <c r="A189" s="4">
        <v>44438</v>
      </c>
      <c r="B189">
        <v>3357.429932</v>
      </c>
      <c r="C189">
        <v>3445</v>
      </c>
      <c r="D189">
        <v>3355.219971</v>
      </c>
      <c r="E189">
        <v>3421.570068</v>
      </c>
      <c r="F189">
        <v>3192200</v>
      </c>
      <c r="G189">
        <f t="shared" si="8"/>
        <v>64.140135999999984</v>
      </c>
      <c r="H189">
        <f t="shared" si="6"/>
        <v>3.1922000000000001</v>
      </c>
      <c r="I189">
        <f t="shared" si="7"/>
        <v>89.780029000000013</v>
      </c>
    </row>
    <row r="190" spans="1:9" x14ac:dyDescent="0.2">
      <c r="A190" s="4">
        <v>44439</v>
      </c>
      <c r="B190">
        <v>3424.8000489999999</v>
      </c>
      <c r="C190">
        <v>3472.580078</v>
      </c>
      <c r="D190">
        <v>3395.5900879999999</v>
      </c>
      <c r="E190">
        <v>3470.790039</v>
      </c>
      <c r="F190">
        <v>4356400</v>
      </c>
      <c r="G190">
        <f t="shared" si="8"/>
        <v>45.989990000000034</v>
      </c>
      <c r="H190">
        <f t="shared" si="6"/>
        <v>4.3563999999999998</v>
      </c>
      <c r="I190">
        <f t="shared" si="7"/>
        <v>76.989990000000034</v>
      </c>
    </row>
    <row r="191" spans="1:9" x14ac:dyDescent="0.2">
      <c r="A191" s="4">
        <v>44440</v>
      </c>
      <c r="B191">
        <v>3496.3999020000001</v>
      </c>
      <c r="C191">
        <v>3527</v>
      </c>
      <c r="D191">
        <v>3475.23999</v>
      </c>
      <c r="E191">
        <v>3479</v>
      </c>
      <c r="F191">
        <v>3629900</v>
      </c>
      <c r="G191">
        <f t="shared" si="8"/>
        <v>-17.399902000000111</v>
      </c>
      <c r="H191">
        <f t="shared" si="6"/>
        <v>3.6299000000000001</v>
      </c>
      <c r="I191">
        <f t="shared" si="7"/>
        <v>51.760009999999966</v>
      </c>
    </row>
    <row r="192" spans="1:9" x14ac:dyDescent="0.2">
      <c r="A192" s="4">
        <v>44441</v>
      </c>
      <c r="B192">
        <v>3494.76001</v>
      </c>
      <c r="C192">
        <v>3511.959961</v>
      </c>
      <c r="D192">
        <v>3455</v>
      </c>
      <c r="E192">
        <v>3463.1201169999999</v>
      </c>
      <c r="F192">
        <v>2923700</v>
      </c>
      <c r="G192">
        <f t="shared" si="8"/>
        <v>-31.639893000000029</v>
      </c>
      <c r="H192">
        <f t="shared" si="6"/>
        <v>2.9237000000000002</v>
      </c>
      <c r="I192">
        <f t="shared" si="7"/>
        <v>56.959961000000021</v>
      </c>
    </row>
    <row r="193" spans="1:9" x14ac:dyDescent="0.2">
      <c r="A193" s="4">
        <v>44442</v>
      </c>
      <c r="B193">
        <v>3452</v>
      </c>
      <c r="C193">
        <v>3482.669922</v>
      </c>
      <c r="D193">
        <v>3436.4399410000001</v>
      </c>
      <c r="E193">
        <v>3478.0500489999999</v>
      </c>
      <c r="F193">
        <v>2575700</v>
      </c>
      <c r="G193">
        <f t="shared" si="8"/>
        <v>26.050048999999944</v>
      </c>
      <c r="H193">
        <f t="shared" si="6"/>
        <v>2.5756999999999999</v>
      </c>
      <c r="I193">
        <f t="shared" si="7"/>
        <v>46.229980999999952</v>
      </c>
    </row>
    <row r="194" spans="1:9" x14ac:dyDescent="0.2">
      <c r="A194" s="4">
        <v>44446</v>
      </c>
      <c r="B194">
        <v>3478</v>
      </c>
      <c r="C194">
        <v>3528.0900879999999</v>
      </c>
      <c r="D194">
        <v>3476.9399410000001</v>
      </c>
      <c r="E194">
        <v>3509.290039</v>
      </c>
      <c r="F194">
        <v>2737900</v>
      </c>
      <c r="G194">
        <f t="shared" si="8"/>
        <v>31.290038999999979</v>
      </c>
      <c r="H194">
        <f t="shared" ref="H194:H253" si="9">F194/1000000</f>
        <v>2.7378999999999998</v>
      </c>
      <c r="I194">
        <f t="shared" ref="I194:I253" si="10">C194-D194</f>
        <v>51.150146999999833</v>
      </c>
    </row>
    <row r="195" spans="1:9" x14ac:dyDescent="0.2">
      <c r="A195" s="4">
        <v>44447</v>
      </c>
      <c r="B195">
        <v>3511.6499020000001</v>
      </c>
      <c r="C195">
        <v>3545.6298830000001</v>
      </c>
      <c r="D195">
        <v>3495.669922</v>
      </c>
      <c r="E195">
        <v>3525.5</v>
      </c>
      <c r="F195">
        <v>3053400</v>
      </c>
      <c r="G195">
        <f t="shared" ref="G195:G253" si="11">E195-B195</f>
        <v>13.850097999999889</v>
      </c>
      <c r="H195">
        <f t="shared" si="9"/>
        <v>3.0533999999999999</v>
      </c>
      <c r="I195">
        <f t="shared" si="10"/>
        <v>49.959961000000021</v>
      </c>
    </row>
    <row r="196" spans="1:9" x14ac:dyDescent="0.2">
      <c r="A196" s="4">
        <v>44448</v>
      </c>
      <c r="B196">
        <v>3526.0200199999999</v>
      </c>
      <c r="C196">
        <v>3549.98999</v>
      </c>
      <c r="D196">
        <v>3480.3701169999999</v>
      </c>
      <c r="E196">
        <v>3484.1599120000001</v>
      </c>
      <c r="F196">
        <v>2719200</v>
      </c>
      <c r="G196">
        <f t="shared" si="11"/>
        <v>-41.860107999999855</v>
      </c>
      <c r="H196">
        <f t="shared" si="9"/>
        <v>2.7191999999999998</v>
      </c>
      <c r="I196">
        <f t="shared" si="10"/>
        <v>69.619873000000098</v>
      </c>
    </row>
    <row r="197" spans="1:9" x14ac:dyDescent="0.2">
      <c r="A197" s="4">
        <v>44449</v>
      </c>
      <c r="B197">
        <v>3501.830078</v>
      </c>
      <c r="C197">
        <v>3508.4499510000001</v>
      </c>
      <c r="D197">
        <v>3462.9099120000001</v>
      </c>
      <c r="E197">
        <v>3469.1499020000001</v>
      </c>
      <c r="F197">
        <v>2393300</v>
      </c>
      <c r="G197">
        <f t="shared" si="11"/>
        <v>-32.680175999999847</v>
      </c>
      <c r="H197">
        <f t="shared" si="9"/>
        <v>2.3933</v>
      </c>
      <c r="I197">
        <f t="shared" si="10"/>
        <v>45.540038999999979</v>
      </c>
    </row>
    <row r="198" spans="1:9" x14ac:dyDescent="0.2">
      <c r="A198" s="4">
        <v>44452</v>
      </c>
      <c r="B198">
        <v>3482.8000489999999</v>
      </c>
      <c r="C198">
        <v>3497.959961</v>
      </c>
      <c r="D198">
        <v>3438</v>
      </c>
      <c r="E198">
        <v>3457.169922</v>
      </c>
      <c r="F198">
        <v>2569000</v>
      </c>
      <c r="G198">
        <f t="shared" si="11"/>
        <v>-25.630126999999902</v>
      </c>
      <c r="H198">
        <f t="shared" si="9"/>
        <v>2.569</v>
      </c>
      <c r="I198">
        <f t="shared" si="10"/>
        <v>59.959961000000021</v>
      </c>
    </row>
    <row r="199" spans="1:9" x14ac:dyDescent="0.2">
      <c r="A199" s="4">
        <v>44453</v>
      </c>
      <c r="B199">
        <v>3475.5500489999999</v>
      </c>
      <c r="C199">
        <v>3486.8100589999999</v>
      </c>
      <c r="D199">
        <v>3437.709961</v>
      </c>
      <c r="E199">
        <v>3450</v>
      </c>
      <c r="F199">
        <v>1936900</v>
      </c>
      <c r="G199">
        <f t="shared" si="11"/>
        <v>-25.550048999999944</v>
      </c>
      <c r="H199">
        <f t="shared" si="9"/>
        <v>1.9369000000000001</v>
      </c>
      <c r="I199">
        <f t="shared" si="10"/>
        <v>49.100097999999889</v>
      </c>
    </row>
    <row r="200" spans="1:9" x14ac:dyDescent="0.2">
      <c r="A200" s="4">
        <v>44454</v>
      </c>
      <c r="B200">
        <v>3442.5200199999999</v>
      </c>
      <c r="C200">
        <v>3485.419922</v>
      </c>
      <c r="D200">
        <v>3402.01001</v>
      </c>
      <c r="E200">
        <v>3475.790039</v>
      </c>
      <c r="F200">
        <v>2957500</v>
      </c>
      <c r="G200">
        <f t="shared" si="11"/>
        <v>33.270019000000048</v>
      </c>
      <c r="H200">
        <f t="shared" si="9"/>
        <v>2.9575</v>
      </c>
      <c r="I200">
        <f t="shared" si="10"/>
        <v>83.409912000000077</v>
      </c>
    </row>
    <row r="201" spans="1:9" x14ac:dyDescent="0.2">
      <c r="A201" s="4">
        <v>44455</v>
      </c>
      <c r="B201">
        <v>3459.959961</v>
      </c>
      <c r="C201">
        <v>3492.5500489999999</v>
      </c>
      <c r="D201">
        <v>3446.139893</v>
      </c>
      <c r="E201">
        <v>3488.23999</v>
      </c>
      <c r="F201">
        <v>2583600</v>
      </c>
      <c r="G201">
        <f t="shared" si="11"/>
        <v>28.280029000000013</v>
      </c>
      <c r="H201">
        <f t="shared" si="9"/>
        <v>2.5836000000000001</v>
      </c>
      <c r="I201">
        <f t="shared" si="10"/>
        <v>46.410155999999915</v>
      </c>
    </row>
    <row r="202" spans="1:9" x14ac:dyDescent="0.2">
      <c r="A202" s="4">
        <v>44456</v>
      </c>
      <c r="B202">
        <v>3488.4099120000001</v>
      </c>
      <c r="C202">
        <v>3497.4099120000001</v>
      </c>
      <c r="D202">
        <v>3452.1298830000001</v>
      </c>
      <c r="E202">
        <v>3462.5200199999999</v>
      </c>
      <c r="F202">
        <v>4616600</v>
      </c>
      <c r="G202">
        <f t="shared" si="11"/>
        <v>-25.889892000000145</v>
      </c>
      <c r="H202">
        <f t="shared" si="9"/>
        <v>4.6166</v>
      </c>
      <c r="I202">
        <f t="shared" si="10"/>
        <v>45.280029000000013</v>
      </c>
    </row>
    <row r="203" spans="1:9" x14ac:dyDescent="0.2">
      <c r="A203" s="4">
        <v>44459</v>
      </c>
      <c r="B203">
        <v>3396</v>
      </c>
      <c r="C203">
        <v>3419</v>
      </c>
      <c r="D203">
        <v>3305.01001</v>
      </c>
      <c r="E203">
        <v>3355.7299800000001</v>
      </c>
      <c r="F203">
        <v>4669100</v>
      </c>
      <c r="G203">
        <f t="shared" si="11"/>
        <v>-40.270019999999931</v>
      </c>
      <c r="H203">
        <f t="shared" si="9"/>
        <v>4.6691000000000003</v>
      </c>
      <c r="I203">
        <f t="shared" si="10"/>
        <v>113.98999000000003</v>
      </c>
    </row>
    <row r="204" spans="1:9" x14ac:dyDescent="0.2">
      <c r="A204" s="4">
        <v>44460</v>
      </c>
      <c r="B204">
        <v>3375</v>
      </c>
      <c r="C204">
        <v>3379.6999510000001</v>
      </c>
      <c r="D204">
        <v>3332.389893</v>
      </c>
      <c r="E204">
        <v>3343.6298830000001</v>
      </c>
      <c r="F204">
        <v>2780900</v>
      </c>
      <c r="G204">
        <f t="shared" si="11"/>
        <v>-31.370116999999937</v>
      </c>
      <c r="H204">
        <f t="shared" si="9"/>
        <v>2.7808999999999999</v>
      </c>
      <c r="I204">
        <f t="shared" si="10"/>
        <v>47.310058000000026</v>
      </c>
    </row>
    <row r="205" spans="1:9" x14ac:dyDescent="0.2">
      <c r="A205" s="4">
        <v>44461</v>
      </c>
      <c r="B205">
        <v>3351</v>
      </c>
      <c r="C205">
        <v>3389</v>
      </c>
      <c r="D205">
        <v>3341.0500489999999</v>
      </c>
      <c r="E205">
        <v>3380.0500489999999</v>
      </c>
      <c r="F205">
        <v>2411400</v>
      </c>
      <c r="G205">
        <f t="shared" si="11"/>
        <v>29.050048999999944</v>
      </c>
      <c r="H205">
        <f t="shared" si="9"/>
        <v>2.4114</v>
      </c>
      <c r="I205">
        <f t="shared" si="10"/>
        <v>47.949951000000056</v>
      </c>
    </row>
    <row r="206" spans="1:9" x14ac:dyDescent="0.2">
      <c r="A206" s="4">
        <v>44462</v>
      </c>
      <c r="B206">
        <v>3380.0500489999999</v>
      </c>
      <c r="C206">
        <v>3428.959961</v>
      </c>
      <c r="D206">
        <v>3380.0500489999999</v>
      </c>
      <c r="E206">
        <v>3416</v>
      </c>
      <c r="F206">
        <v>2379400</v>
      </c>
      <c r="G206">
        <f t="shared" si="11"/>
        <v>35.949951000000056</v>
      </c>
      <c r="H206">
        <f t="shared" si="9"/>
        <v>2.3794</v>
      </c>
      <c r="I206">
        <f t="shared" si="10"/>
        <v>48.909912000000077</v>
      </c>
    </row>
    <row r="207" spans="1:9" x14ac:dyDescent="0.2">
      <c r="A207" s="4">
        <v>44463</v>
      </c>
      <c r="B207">
        <v>3402.01001</v>
      </c>
      <c r="C207">
        <v>3429.26001</v>
      </c>
      <c r="D207">
        <v>3393.3999020000001</v>
      </c>
      <c r="E207">
        <v>3425.5200199999999</v>
      </c>
      <c r="F207">
        <v>2116200</v>
      </c>
      <c r="G207">
        <f t="shared" si="11"/>
        <v>23.510009999999966</v>
      </c>
      <c r="H207">
        <f t="shared" si="9"/>
        <v>2.1162000000000001</v>
      </c>
      <c r="I207">
        <f t="shared" si="10"/>
        <v>35.860107999999855</v>
      </c>
    </row>
    <row r="208" spans="1:9" x14ac:dyDescent="0.2">
      <c r="A208" s="4">
        <v>44466</v>
      </c>
      <c r="B208">
        <v>3371.5</v>
      </c>
      <c r="C208">
        <v>3415.570068</v>
      </c>
      <c r="D208">
        <v>3339.610107</v>
      </c>
      <c r="E208">
        <v>3405.8000489999999</v>
      </c>
      <c r="F208">
        <v>3634500</v>
      </c>
      <c r="G208">
        <f t="shared" si="11"/>
        <v>34.300048999999944</v>
      </c>
      <c r="H208">
        <f t="shared" si="9"/>
        <v>3.6345000000000001</v>
      </c>
      <c r="I208">
        <f t="shared" si="10"/>
        <v>75.959961000000021</v>
      </c>
    </row>
    <row r="209" spans="1:9" x14ac:dyDescent="0.2">
      <c r="A209" s="4">
        <v>44467</v>
      </c>
      <c r="B209">
        <v>3357.709961</v>
      </c>
      <c r="C209">
        <v>3369.1899410000001</v>
      </c>
      <c r="D209">
        <v>3290.1000979999999</v>
      </c>
      <c r="E209">
        <v>3315.959961</v>
      </c>
      <c r="F209">
        <v>4430800</v>
      </c>
      <c r="G209">
        <f t="shared" si="11"/>
        <v>-41.75</v>
      </c>
      <c r="H209">
        <f t="shared" si="9"/>
        <v>4.4307999999999996</v>
      </c>
      <c r="I209">
        <f t="shared" si="10"/>
        <v>79.089843000000201</v>
      </c>
    </row>
    <row r="210" spans="1:9" x14ac:dyDescent="0.2">
      <c r="A210" s="4">
        <v>44468</v>
      </c>
      <c r="B210">
        <v>3322.110107</v>
      </c>
      <c r="C210">
        <v>3351.3000489999999</v>
      </c>
      <c r="D210">
        <v>3297.8701169999999</v>
      </c>
      <c r="E210">
        <v>3301.1201169999999</v>
      </c>
      <c r="F210">
        <v>2562300</v>
      </c>
      <c r="G210">
        <f t="shared" si="11"/>
        <v>-20.989990000000034</v>
      </c>
      <c r="H210">
        <f t="shared" si="9"/>
        <v>2.5623</v>
      </c>
      <c r="I210">
        <f t="shared" si="10"/>
        <v>53.429932000000008</v>
      </c>
    </row>
    <row r="211" spans="1:9" x14ac:dyDescent="0.2">
      <c r="A211" s="4">
        <v>44469</v>
      </c>
      <c r="B211">
        <v>3316</v>
      </c>
      <c r="C211">
        <v>3327.8500979999999</v>
      </c>
      <c r="D211">
        <v>3273.98999</v>
      </c>
      <c r="E211">
        <v>3285.040039</v>
      </c>
      <c r="F211">
        <v>2842400</v>
      </c>
      <c r="G211">
        <f t="shared" si="11"/>
        <v>-30.959961000000021</v>
      </c>
      <c r="H211">
        <f t="shared" si="9"/>
        <v>2.8424</v>
      </c>
      <c r="I211">
        <f t="shared" si="10"/>
        <v>53.860107999999855</v>
      </c>
    </row>
    <row r="212" spans="1:9" x14ac:dyDescent="0.2">
      <c r="A212" s="4">
        <v>44470</v>
      </c>
      <c r="B212">
        <v>3289.01001</v>
      </c>
      <c r="C212">
        <v>3309.169922</v>
      </c>
      <c r="D212">
        <v>3255.9399410000001</v>
      </c>
      <c r="E212">
        <v>3283.26001</v>
      </c>
      <c r="F212">
        <v>2835600</v>
      </c>
      <c r="G212">
        <f t="shared" si="11"/>
        <v>-5.75</v>
      </c>
      <c r="H212">
        <f t="shared" si="9"/>
        <v>2.8355999999999999</v>
      </c>
      <c r="I212">
        <f t="shared" si="10"/>
        <v>53.229980999999952</v>
      </c>
    </row>
    <row r="213" spans="1:9" x14ac:dyDescent="0.2">
      <c r="A213" s="4">
        <v>44473</v>
      </c>
      <c r="B213">
        <v>3279.389893</v>
      </c>
      <c r="C213">
        <v>3279.98999</v>
      </c>
      <c r="D213">
        <v>3176.25</v>
      </c>
      <c r="E213">
        <v>3189.780029</v>
      </c>
      <c r="F213">
        <v>4523100</v>
      </c>
      <c r="G213">
        <f t="shared" si="11"/>
        <v>-89.609864000000016</v>
      </c>
      <c r="H213">
        <f t="shared" si="9"/>
        <v>4.5231000000000003</v>
      </c>
      <c r="I213">
        <f t="shared" si="10"/>
        <v>103.73999000000003</v>
      </c>
    </row>
    <row r="214" spans="1:9" x14ac:dyDescent="0.2">
      <c r="A214" s="4">
        <v>44474</v>
      </c>
      <c r="B214">
        <v>3204.5</v>
      </c>
      <c r="C214">
        <v>3260.7299800000001</v>
      </c>
      <c r="D214">
        <v>3202.459961</v>
      </c>
      <c r="E214">
        <v>3221</v>
      </c>
      <c r="F214">
        <v>3269200</v>
      </c>
      <c r="G214">
        <f t="shared" si="11"/>
        <v>16.5</v>
      </c>
      <c r="H214">
        <f t="shared" si="9"/>
        <v>3.2692000000000001</v>
      </c>
      <c r="I214">
        <f t="shared" si="10"/>
        <v>58.270019000000048</v>
      </c>
    </row>
    <row r="215" spans="1:9" x14ac:dyDescent="0.2">
      <c r="A215" s="4">
        <v>44475</v>
      </c>
      <c r="B215">
        <v>3213.530029</v>
      </c>
      <c r="C215">
        <v>3264.3400879999999</v>
      </c>
      <c r="D215">
        <v>3198.6201169999999</v>
      </c>
      <c r="E215">
        <v>3262.01001</v>
      </c>
      <c r="F215">
        <v>2533000</v>
      </c>
      <c r="G215">
        <f t="shared" si="11"/>
        <v>48.479980999999952</v>
      </c>
      <c r="H215">
        <f t="shared" si="9"/>
        <v>2.5329999999999999</v>
      </c>
      <c r="I215">
        <f t="shared" si="10"/>
        <v>65.719970999999987</v>
      </c>
    </row>
    <row r="216" spans="1:9" x14ac:dyDescent="0.2">
      <c r="A216" s="4">
        <v>44476</v>
      </c>
      <c r="B216">
        <v>3291.540039</v>
      </c>
      <c r="C216">
        <v>3325.75</v>
      </c>
      <c r="D216">
        <v>3283.0600589999999</v>
      </c>
      <c r="E216">
        <v>3302.429932</v>
      </c>
      <c r="F216">
        <v>2409100</v>
      </c>
      <c r="G216">
        <f t="shared" si="11"/>
        <v>10.889893000000029</v>
      </c>
      <c r="H216">
        <f t="shared" si="9"/>
        <v>2.4091</v>
      </c>
      <c r="I216">
        <f t="shared" si="10"/>
        <v>42.68994100000009</v>
      </c>
    </row>
    <row r="217" spans="1:9" x14ac:dyDescent="0.2">
      <c r="A217" s="4">
        <v>44477</v>
      </c>
      <c r="B217">
        <v>3317</v>
      </c>
      <c r="C217">
        <v>3321.429932</v>
      </c>
      <c r="D217">
        <v>3288.1999510000001</v>
      </c>
      <c r="E217">
        <v>3288.6201169999999</v>
      </c>
      <c r="F217">
        <v>1995500</v>
      </c>
      <c r="G217">
        <f t="shared" si="11"/>
        <v>-28.379883000000063</v>
      </c>
      <c r="H217">
        <f t="shared" si="9"/>
        <v>1.9955000000000001</v>
      </c>
      <c r="I217">
        <f t="shared" si="10"/>
        <v>33.229980999999952</v>
      </c>
    </row>
    <row r="218" spans="1:9" x14ac:dyDescent="0.2">
      <c r="A218" s="4">
        <v>44480</v>
      </c>
      <c r="B218">
        <v>3275</v>
      </c>
      <c r="C218">
        <v>3292.5900879999999</v>
      </c>
      <c r="D218">
        <v>3238.1000979999999</v>
      </c>
      <c r="E218">
        <v>3246.3000489999999</v>
      </c>
      <c r="F218">
        <v>2034200</v>
      </c>
      <c r="G218">
        <f t="shared" si="11"/>
        <v>-28.699951000000056</v>
      </c>
      <c r="H218">
        <f t="shared" si="9"/>
        <v>2.0341999999999998</v>
      </c>
      <c r="I218">
        <f t="shared" si="10"/>
        <v>54.489990000000034</v>
      </c>
    </row>
    <row r="219" spans="1:9" x14ac:dyDescent="0.2">
      <c r="A219" s="4">
        <v>44481</v>
      </c>
      <c r="B219">
        <v>3257</v>
      </c>
      <c r="C219">
        <v>3267.530029</v>
      </c>
      <c r="D219">
        <v>3236.280029</v>
      </c>
      <c r="E219">
        <v>3247.330078</v>
      </c>
      <c r="F219">
        <v>1819600</v>
      </c>
      <c r="G219">
        <f t="shared" si="11"/>
        <v>-9.6699220000000423</v>
      </c>
      <c r="H219">
        <f t="shared" si="9"/>
        <v>1.8196000000000001</v>
      </c>
      <c r="I219">
        <f t="shared" si="10"/>
        <v>31.25</v>
      </c>
    </row>
    <row r="220" spans="1:9" x14ac:dyDescent="0.2">
      <c r="A220" s="4">
        <v>44482</v>
      </c>
      <c r="B220">
        <v>3269.709961</v>
      </c>
      <c r="C220">
        <v>3288.3798830000001</v>
      </c>
      <c r="D220">
        <v>3261.0900879999999</v>
      </c>
      <c r="E220">
        <v>3284.280029</v>
      </c>
      <c r="F220">
        <v>2420100</v>
      </c>
      <c r="G220">
        <f t="shared" si="11"/>
        <v>14.570067999999992</v>
      </c>
      <c r="H220">
        <f t="shared" si="9"/>
        <v>2.4201000000000001</v>
      </c>
      <c r="I220">
        <f t="shared" si="10"/>
        <v>27.28979500000014</v>
      </c>
    </row>
    <row r="221" spans="1:9" x14ac:dyDescent="0.2">
      <c r="A221" s="4">
        <v>44483</v>
      </c>
      <c r="B221">
        <v>3302.4499510000001</v>
      </c>
      <c r="C221">
        <v>3312.6000979999999</v>
      </c>
      <c r="D221">
        <v>3290.780029</v>
      </c>
      <c r="E221">
        <v>3299.860107</v>
      </c>
      <c r="F221">
        <v>2109500</v>
      </c>
      <c r="G221">
        <f t="shared" si="11"/>
        <v>-2.5898440000000846</v>
      </c>
      <c r="H221">
        <f t="shared" si="9"/>
        <v>2.1095000000000002</v>
      </c>
      <c r="I221">
        <f t="shared" si="10"/>
        <v>21.820068999999876</v>
      </c>
    </row>
    <row r="222" spans="1:9" x14ac:dyDescent="0.2">
      <c r="A222" s="4">
        <v>44484</v>
      </c>
      <c r="B222">
        <v>3311.419922</v>
      </c>
      <c r="C222">
        <v>3410.419922</v>
      </c>
      <c r="D222">
        <v>3304</v>
      </c>
      <c r="E222">
        <v>3409.0200199999999</v>
      </c>
      <c r="F222">
        <v>5175100</v>
      </c>
      <c r="G222">
        <f t="shared" si="11"/>
        <v>97.600097999999889</v>
      </c>
      <c r="H222">
        <f t="shared" si="9"/>
        <v>5.1750999999999996</v>
      </c>
      <c r="I222">
        <f t="shared" si="10"/>
        <v>106.41992200000004</v>
      </c>
    </row>
    <row r="223" spans="1:9" x14ac:dyDescent="0.2">
      <c r="A223" s="4">
        <v>44487</v>
      </c>
      <c r="B223">
        <v>3388.360107</v>
      </c>
      <c r="C223">
        <v>3449.169922</v>
      </c>
      <c r="D223">
        <v>3385.1000979999999</v>
      </c>
      <c r="E223">
        <v>3446.73999</v>
      </c>
      <c r="F223">
        <v>3174100</v>
      </c>
      <c r="G223">
        <f t="shared" si="11"/>
        <v>58.379883000000063</v>
      </c>
      <c r="H223">
        <f t="shared" si="9"/>
        <v>3.1741000000000001</v>
      </c>
      <c r="I223">
        <f t="shared" si="10"/>
        <v>64.069824000000153</v>
      </c>
    </row>
    <row r="224" spans="1:9" x14ac:dyDescent="0.2">
      <c r="A224" s="4">
        <v>44488</v>
      </c>
      <c r="B224">
        <v>3434.290039</v>
      </c>
      <c r="C224">
        <v>3454.6899410000001</v>
      </c>
      <c r="D224">
        <v>3422</v>
      </c>
      <c r="E224">
        <v>3444.1499020000001</v>
      </c>
      <c r="F224">
        <v>2386100</v>
      </c>
      <c r="G224">
        <f t="shared" si="11"/>
        <v>9.8598630000001322</v>
      </c>
      <c r="H224">
        <f t="shared" si="9"/>
        <v>2.3860999999999999</v>
      </c>
      <c r="I224">
        <f t="shared" si="10"/>
        <v>32.68994100000009</v>
      </c>
    </row>
    <row r="225" spans="1:9" x14ac:dyDescent="0.2">
      <c r="A225" s="4">
        <v>44489</v>
      </c>
      <c r="B225">
        <v>3452.6599120000001</v>
      </c>
      <c r="C225">
        <v>3462.860107</v>
      </c>
      <c r="D225">
        <v>3400.3701169999999</v>
      </c>
      <c r="E225">
        <v>3415.0600589999999</v>
      </c>
      <c r="F225">
        <v>2139800</v>
      </c>
      <c r="G225">
        <f t="shared" si="11"/>
        <v>-37.599853000000167</v>
      </c>
      <c r="H225">
        <f t="shared" si="9"/>
        <v>2.1398000000000001</v>
      </c>
      <c r="I225">
        <f t="shared" si="10"/>
        <v>62.489990000000034</v>
      </c>
    </row>
    <row r="226" spans="1:9" x14ac:dyDescent="0.2">
      <c r="A226" s="4">
        <v>44490</v>
      </c>
      <c r="B226">
        <v>3414.25</v>
      </c>
      <c r="C226">
        <v>3440.280029</v>
      </c>
      <c r="D226">
        <v>3403</v>
      </c>
      <c r="E226">
        <v>3435.01001</v>
      </c>
      <c r="F226">
        <v>1881400</v>
      </c>
      <c r="G226">
        <f t="shared" si="11"/>
        <v>20.760009999999966</v>
      </c>
      <c r="H226">
        <f t="shared" si="9"/>
        <v>1.8814</v>
      </c>
      <c r="I226">
        <f t="shared" si="10"/>
        <v>37.280029000000013</v>
      </c>
    </row>
    <row r="227" spans="1:9" x14ac:dyDescent="0.2">
      <c r="A227" s="4">
        <v>44491</v>
      </c>
      <c r="B227">
        <v>3421</v>
      </c>
      <c r="C227">
        <v>3429.8400879999999</v>
      </c>
      <c r="D227">
        <v>3331.3000489999999</v>
      </c>
      <c r="E227">
        <v>3335.5500489999999</v>
      </c>
      <c r="F227">
        <v>3139100</v>
      </c>
      <c r="G227">
        <f t="shared" si="11"/>
        <v>-85.449951000000056</v>
      </c>
      <c r="H227">
        <f t="shared" si="9"/>
        <v>3.1391</v>
      </c>
      <c r="I227">
        <f t="shared" si="10"/>
        <v>98.540038999999979</v>
      </c>
    </row>
    <row r="228" spans="1:9" x14ac:dyDescent="0.2">
      <c r="A228" s="4">
        <v>44494</v>
      </c>
      <c r="B228">
        <v>3335</v>
      </c>
      <c r="C228">
        <v>3347.8000489999999</v>
      </c>
      <c r="D228">
        <v>3297.6999510000001</v>
      </c>
      <c r="E228">
        <v>3320.3701169999999</v>
      </c>
      <c r="F228">
        <v>2226000</v>
      </c>
      <c r="G228">
        <f t="shared" si="11"/>
        <v>-14.629883000000063</v>
      </c>
      <c r="H228">
        <f t="shared" si="9"/>
        <v>2.226</v>
      </c>
      <c r="I228">
        <f t="shared" si="10"/>
        <v>50.100097999999889</v>
      </c>
    </row>
    <row r="229" spans="1:9" x14ac:dyDescent="0.2">
      <c r="A229" s="4">
        <v>44495</v>
      </c>
      <c r="B229">
        <v>3349.51001</v>
      </c>
      <c r="C229">
        <v>3416.1201169999999</v>
      </c>
      <c r="D229">
        <v>3343.9799800000001</v>
      </c>
      <c r="E229">
        <v>3376.070068</v>
      </c>
      <c r="F229">
        <v>2698300</v>
      </c>
      <c r="G229">
        <f t="shared" si="11"/>
        <v>26.560058000000026</v>
      </c>
      <c r="H229">
        <f t="shared" si="9"/>
        <v>2.6983000000000001</v>
      </c>
      <c r="I229">
        <f t="shared" si="10"/>
        <v>72.140136999999868</v>
      </c>
    </row>
    <row r="230" spans="1:9" x14ac:dyDescent="0.2">
      <c r="A230" s="4">
        <v>44496</v>
      </c>
      <c r="B230">
        <v>3388</v>
      </c>
      <c r="C230">
        <v>3437</v>
      </c>
      <c r="D230">
        <v>3371.4499510000001</v>
      </c>
      <c r="E230">
        <v>3392.48999</v>
      </c>
      <c r="F230">
        <v>2702200</v>
      </c>
      <c r="G230">
        <f t="shared" si="11"/>
        <v>4.4899900000000343</v>
      </c>
      <c r="H230">
        <f t="shared" si="9"/>
        <v>2.7021999999999999</v>
      </c>
      <c r="I230">
        <f t="shared" si="10"/>
        <v>65.550048999999944</v>
      </c>
    </row>
    <row r="231" spans="1:9" x14ac:dyDescent="0.2">
      <c r="A231" s="4">
        <v>44497</v>
      </c>
      <c r="B231">
        <v>3402.1000979999999</v>
      </c>
      <c r="C231">
        <v>3479</v>
      </c>
      <c r="D231">
        <v>3386</v>
      </c>
      <c r="E231">
        <v>3446.570068</v>
      </c>
      <c r="F231">
        <v>5708700</v>
      </c>
      <c r="G231">
        <f t="shared" si="11"/>
        <v>44.469970000000103</v>
      </c>
      <c r="H231">
        <f t="shared" si="9"/>
        <v>5.7087000000000003</v>
      </c>
      <c r="I231">
        <f t="shared" si="10"/>
        <v>93</v>
      </c>
    </row>
    <row r="232" spans="1:9" x14ac:dyDescent="0.2">
      <c r="A232" s="4">
        <v>44498</v>
      </c>
      <c r="B232">
        <v>3300.0200199999999</v>
      </c>
      <c r="C232">
        <v>3374.820068</v>
      </c>
      <c r="D232">
        <v>3273.320068</v>
      </c>
      <c r="E232">
        <v>3372.429932</v>
      </c>
      <c r="F232">
        <v>6469500</v>
      </c>
      <c r="G232">
        <f t="shared" si="11"/>
        <v>72.409912000000077</v>
      </c>
      <c r="H232">
        <f t="shared" si="9"/>
        <v>6.4695</v>
      </c>
      <c r="I232">
        <f t="shared" si="10"/>
        <v>101.5</v>
      </c>
    </row>
    <row r="233" spans="1:9" x14ac:dyDescent="0.2">
      <c r="A233" s="4">
        <v>44501</v>
      </c>
      <c r="B233">
        <v>3361.8000489999999</v>
      </c>
      <c r="C233">
        <v>3375.860107</v>
      </c>
      <c r="D233">
        <v>3292.0200199999999</v>
      </c>
      <c r="E233">
        <v>3318.110107</v>
      </c>
      <c r="F233">
        <v>3608900</v>
      </c>
      <c r="G233">
        <f t="shared" si="11"/>
        <v>-43.689941999999974</v>
      </c>
      <c r="H233">
        <f t="shared" si="9"/>
        <v>3.6089000000000002</v>
      </c>
      <c r="I233">
        <f t="shared" si="10"/>
        <v>83.84008700000004</v>
      </c>
    </row>
    <row r="234" spans="1:9" x14ac:dyDescent="0.2">
      <c r="A234" s="4">
        <v>44502</v>
      </c>
      <c r="B234">
        <v>3315.01001</v>
      </c>
      <c r="C234">
        <v>3331.1201169999999</v>
      </c>
      <c r="D234">
        <v>3283.5500489999999</v>
      </c>
      <c r="E234">
        <v>3312.75</v>
      </c>
      <c r="F234">
        <v>2627600</v>
      </c>
      <c r="G234">
        <f t="shared" si="11"/>
        <v>-2.2600099999999657</v>
      </c>
      <c r="H234">
        <f t="shared" si="9"/>
        <v>2.6276000000000002</v>
      </c>
      <c r="I234">
        <f t="shared" si="10"/>
        <v>47.570067999999992</v>
      </c>
    </row>
    <row r="235" spans="1:9" x14ac:dyDescent="0.2">
      <c r="A235" s="4">
        <v>44503</v>
      </c>
      <c r="B235">
        <v>3309</v>
      </c>
      <c r="C235">
        <v>3394.919922</v>
      </c>
      <c r="D235">
        <v>3297.5200199999999</v>
      </c>
      <c r="E235">
        <v>3384</v>
      </c>
      <c r="F235">
        <v>3397200</v>
      </c>
      <c r="G235">
        <f t="shared" si="11"/>
        <v>75</v>
      </c>
      <c r="H235">
        <f t="shared" si="9"/>
        <v>3.3972000000000002</v>
      </c>
      <c r="I235">
        <f t="shared" si="10"/>
        <v>97.399902000000111</v>
      </c>
    </row>
    <row r="236" spans="1:9" x14ac:dyDescent="0.2">
      <c r="A236" s="4">
        <v>44504</v>
      </c>
      <c r="B236">
        <v>3370</v>
      </c>
      <c r="C236">
        <v>3498.6298830000001</v>
      </c>
      <c r="D236">
        <v>3365</v>
      </c>
      <c r="E236">
        <v>3477</v>
      </c>
      <c r="F236">
        <v>5353000</v>
      </c>
      <c r="G236">
        <f t="shared" si="11"/>
        <v>107</v>
      </c>
      <c r="H236">
        <f t="shared" si="9"/>
        <v>5.3529999999999998</v>
      </c>
      <c r="I236">
        <f t="shared" si="10"/>
        <v>133.62988300000006</v>
      </c>
    </row>
    <row r="237" spans="1:9" x14ac:dyDescent="0.2">
      <c r="A237" s="4">
        <v>44505</v>
      </c>
      <c r="B237">
        <v>3477</v>
      </c>
      <c r="C237">
        <v>3566.25</v>
      </c>
      <c r="D237">
        <v>3476.9799800000001</v>
      </c>
      <c r="E237">
        <v>3518.98999</v>
      </c>
      <c r="F237">
        <v>4993500</v>
      </c>
      <c r="G237">
        <f t="shared" si="11"/>
        <v>41.989990000000034</v>
      </c>
      <c r="H237">
        <f t="shared" si="9"/>
        <v>4.9935</v>
      </c>
      <c r="I237">
        <f t="shared" si="10"/>
        <v>89.270019999999931</v>
      </c>
    </row>
    <row r="238" spans="1:9" x14ac:dyDescent="0.2">
      <c r="A238" s="4">
        <v>44508</v>
      </c>
      <c r="B238">
        <v>3523.23999</v>
      </c>
      <c r="C238">
        <v>3579</v>
      </c>
      <c r="D238">
        <v>3487.860107</v>
      </c>
      <c r="E238">
        <v>3488.9799800000001</v>
      </c>
      <c r="F238">
        <v>3074000</v>
      </c>
      <c r="G238">
        <f t="shared" si="11"/>
        <v>-34.260009999999966</v>
      </c>
      <c r="H238">
        <f t="shared" si="9"/>
        <v>3.0739999999999998</v>
      </c>
      <c r="I238">
        <f t="shared" si="10"/>
        <v>91.139893000000029</v>
      </c>
    </row>
    <row r="239" spans="1:9" x14ac:dyDescent="0.2">
      <c r="A239" s="4">
        <v>44509</v>
      </c>
      <c r="B239">
        <v>3515.25</v>
      </c>
      <c r="C239">
        <v>3593.7700199999999</v>
      </c>
      <c r="D239">
        <v>3501.429932</v>
      </c>
      <c r="E239">
        <v>3576.2299800000001</v>
      </c>
      <c r="F239">
        <v>4294900</v>
      </c>
      <c r="G239">
        <f t="shared" si="11"/>
        <v>60.979980000000069</v>
      </c>
      <c r="H239">
        <f t="shared" si="9"/>
        <v>4.2949000000000002</v>
      </c>
      <c r="I239">
        <f t="shared" si="10"/>
        <v>92.340087999999923</v>
      </c>
    </row>
    <row r="240" spans="1:9" x14ac:dyDescent="0.2">
      <c r="A240" s="4">
        <v>44510</v>
      </c>
      <c r="B240">
        <v>3563.8701169999999</v>
      </c>
      <c r="C240">
        <v>3605.4499510000001</v>
      </c>
      <c r="D240">
        <v>3463.0900879999999</v>
      </c>
      <c r="E240">
        <v>3482.0500489999999</v>
      </c>
      <c r="F240">
        <v>4027400</v>
      </c>
      <c r="G240">
        <f t="shared" si="11"/>
        <v>-81.820067999999992</v>
      </c>
      <c r="H240">
        <f t="shared" si="9"/>
        <v>4.0274000000000001</v>
      </c>
      <c r="I240">
        <f t="shared" si="10"/>
        <v>142.35986300000013</v>
      </c>
    </row>
    <row r="241" spans="1:9" x14ac:dyDescent="0.2">
      <c r="A241" s="4">
        <v>44511</v>
      </c>
      <c r="B241">
        <v>3513</v>
      </c>
      <c r="C241">
        <v>3543.23999</v>
      </c>
      <c r="D241">
        <v>3467.469971</v>
      </c>
      <c r="E241">
        <v>3472.5</v>
      </c>
      <c r="F241">
        <v>2264400</v>
      </c>
      <c r="G241">
        <f t="shared" si="11"/>
        <v>-40.5</v>
      </c>
      <c r="H241">
        <f t="shared" si="9"/>
        <v>2.2644000000000002</v>
      </c>
      <c r="I241">
        <f t="shared" si="10"/>
        <v>75.770019000000048</v>
      </c>
    </row>
    <row r="242" spans="1:9" x14ac:dyDescent="0.2">
      <c r="A242" s="4">
        <v>44512</v>
      </c>
      <c r="B242">
        <v>3485</v>
      </c>
      <c r="C242">
        <v>3540.7299800000001</v>
      </c>
      <c r="D242">
        <v>3447.0500489999999</v>
      </c>
      <c r="E242">
        <v>3525.1499020000001</v>
      </c>
      <c r="F242">
        <v>2688500</v>
      </c>
      <c r="G242">
        <f t="shared" si="11"/>
        <v>40.149902000000111</v>
      </c>
      <c r="H242">
        <f t="shared" si="9"/>
        <v>2.6884999999999999</v>
      </c>
      <c r="I242">
        <f t="shared" si="10"/>
        <v>93.679931000000124</v>
      </c>
    </row>
    <row r="243" spans="1:9" x14ac:dyDescent="0.2">
      <c r="A243" s="4">
        <v>44515</v>
      </c>
      <c r="B243">
        <v>3537</v>
      </c>
      <c r="C243">
        <v>3593.8798830000001</v>
      </c>
      <c r="D243">
        <v>3525.8100589999999</v>
      </c>
      <c r="E243">
        <v>3545.679932</v>
      </c>
      <c r="F243">
        <v>2929700</v>
      </c>
      <c r="G243">
        <f t="shared" si="11"/>
        <v>8.679932000000008</v>
      </c>
      <c r="H243">
        <f t="shared" si="9"/>
        <v>2.9297</v>
      </c>
      <c r="I243">
        <f t="shared" si="10"/>
        <v>68.069824000000153</v>
      </c>
    </row>
    <row r="244" spans="1:9" x14ac:dyDescent="0.2">
      <c r="A244" s="4">
        <v>44516</v>
      </c>
      <c r="B244">
        <v>3539</v>
      </c>
      <c r="C244">
        <v>3576.5</v>
      </c>
      <c r="D244">
        <v>3525.1499020000001</v>
      </c>
      <c r="E244">
        <v>3540.6999510000001</v>
      </c>
      <c r="F244">
        <v>2217100</v>
      </c>
      <c r="G244">
        <f t="shared" si="11"/>
        <v>1.6999510000000555</v>
      </c>
      <c r="H244">
        <f t="shared" si="9"/>
        <v>2.2170999999999998</v>
      </c>
      <c r="I244">
        <f t="shared" si="10"/>
        <v>51.350097999999889</v>
      </c>
    </row>
    <row r="245" spans="1:9" x14ac:dyDescent="0.2">
      <c r="A245" s="4">
        <v>44517</v>
      </c>
      <c r="B245">
        <v>3564.719971</v>
      </c>
      <c r="C245">
        <v>3587.25</v>
      </c>
      <c r="D245">
        <v>3545.3500979999999</v>
      </c>
      <c r="E245">
        <v>3549</v>
      </c>
      <c r="F245">
        <v>2560300</v>
      </c>
      <c r="G245">
        <f t="shared" si="11"/>
        <v>-15.719970999999987</v>
      </c>
      <c r="H245">
        <f t="shared" si="9"/>
        <v>2.5602999999999998</v>
      </c>
      <c r="I245">
        <f t="shared" si="10"/>
        <v>41.899902000000111</v>
      </c>
    </row>
    <row r="246" spans="1:9" x14ac:dyDescent="0.2">
      <c r="A246" s="4">
        <v>44518</v>
      </c>
      <c r="B246">
        <v>3566.3500979999999</v>
      </c>
      <c r="C246">
        <v>3704.1999510000001</v>
      </c>
      <c r="D246">
        <v>3561</v>
      </c>
      <c r="E246">
        <v>3696.0600589999999</v>
      </c>
      <c r="F246">
        <v>5703500</v>
      </c>
      <c r="G246">
        <f t="shared" si="11"/>
        <v>129.70996100000002</v>
      </c>
      <c r="H246">
        <f t="shared" si="9"/>
        <v>5.7035</v>
      </c>
      <c r="I246">
        <f t="shared" si="10"/>
        <v>143.19995100000006</v>
      </c>
    </row>
    <row r="247" spans="1:9" x14ac:dyDescent="0.2">
      <c r="A247" s="4">
        <v>44519</v>
      </c>
      <c r="B247">
        <v>3712.6899410000001</v>
      </c>
      <c r="C247">
        <v>3762.1499020000001</v>
      </c>
      <c r="D247">
        <v>3675.719971</v>
      </c>
      <c r="E247">
        <v>3676.570068</v>
      </c>
      <c r="F247">
        <v>4936700</v>
      </c>
      <c r="G247">
        <f t="shared" si="11"/>
        <v>-36.119873000000098</v>
      </c>
      <c r="H247">
        <f t="shared" si="9"/>
        <v>4.9367000000000001</v>
      </c>
      <c r="I247">
        <f t="shared" si="10"/>
        <v>86.429931000000124</v>
      </c>
    </row>
    <row r="248" spans="1:9" x14ac:dyDescent="0.2">
      <c r="A248" s="4">
        <v>44522</v>
      </c>
      <c r="B248">
        <v>3676.3798830000001</v>
      </c>
      <c r="C248">
        <v>3713.459961</v>
      </c>
      <c r="D248">
        <v>3567.5</v>
      </c>
      <c r="E248">
        <v>3572.570068</v>
      </c>
      <c r="F248">
        <v>4842200</v>
      </c>
      <c r="G248">
        <f t="shared" si="11"/>
        <v>-103.80981500000007</v>
      </c>
      <c r="H248">
        <f t="shared" si="9"/>
        <v>4.8422000000000001</v>
      </c>
      <c r="I248">
        <f t="shared" si="10"/>
        <v>145.95996100000002</v>
      </c>
    </row>
    <row r="249" spans="1:9" x14ac:dyDescent="0.2">
      <c r="A249" s="4">
        <v>44523</v>
      </c>
      <c r="B249">
        <v>3585.040039</v>
      </c>
      <c r="C249">
        <v>3621.0500489999999</v>
      </c>
      <c r="D249">
        <v>3527.709961</v>
      </c>
      <c r="E249">
        <v>3580.040039</v>
      </c>
      <c r="F249">
        <v>3690200</v>
      </c>
      <c r="G249">
        <f t="shared" si="11"/>
        <v>-5</v>
      </c>
      <c r="H249">
        <f t="shared" si="9"/>
        <v>3.6901999999999999</v>
      </c>
      <c r="I249">
        <f t="shared" si="10"/>
        <v>93.340087999999923</v>
      </c>
    </row>
    <row r="250" spans="1:9" x14ac:dyDescent="0.2">
      <c r="A250" s="4">
        <v>44524</v>
      </c>
      <c r="B250">
        <v>3562.669922</v>
      </c>
      <c r="C250">
        <v>3613.639893</v>
      </c>
      <c r="D250">
        <v>3536.8500979999999</v>
      </c>
      <c r="E250">
        <v>3580.4099120000001</v>
      </c>
      <c r="F250">
        <v>2328000</v>
      </c>
      <c r="G250">
        <f t="shared" si="11"/>
        <v>17.739990000000034</v>
      </c>
      <c r="H250">
        <f t="shared" si="9"/>
        <v>2.3279999999999998</v>
      </c>
      <c r="I250">
        <f t="shared" si="10"/>
        <v>76.78979500000014</v>
      </c>
    </row>
    <row r="251" spans="1:9" x14ac:dyDescent="0.2">
      <c r="A251" s="4">
        <v>44526</v>
      </c>
      <c r="B251">
        <v>3602.1000979999999</v>
      </c>
      <c r="C251">
        <v>3633.5</v>
      </c>
      <c r="D251">
        <v>3504.1499020000001</v>
      </c>
      <c r="E251">
        <v>3504.5600589999999</v>
      </c>
      <c r="F251">
        <v>2991300</v>
      </c>
      <c r="G251">
        <f t="shared" si="11"/>
        <v>-97.540038999999979</v>
      </c>
      <c r="H251">
        <f t="shared" si="9"/>
        <v>2.9912999999999998</v>
      </c>
      <c r="I251">
        <f t="shared" si="10"/>
        <v>129.35009799999989</v>
      </c>
    </row>
    <row r="252" spans="1:9" x14ac:dyDescent="0.2">
      <c r="A252" s="4">
        <v>44529</v>
      </c>
      <c r="B252">
        <v>3547.639893</v>
      </c>
      <c r="C252">
        <v>3596</v>
      </c>
      <c r="D252">
        <v>3531.5</v>
      </c>
      <c r="E252">
        <v>3561.570068</v>
      </c>
      <c r="F252">
        <v>3265600</v>
      </c>
      <c r="G252">
        <f t="shared" si="11"/>
        <v>13.930174999999963</v>
      </c>
      <c r="H252">
        <f t="shared" si="9"/>
        <v>3.2656000000000001</v>
      </c>
      <c r="I252">
        <f t="shared" si="10"/>
        <v>64.5</v>
      </c>
    </row>
    <row r="253" spans="1:9" x14ac:dyDescent="0.2">
      <c r="A253" s="4">
        <v>44530</v>
      </c>
      <c r="B253">
        <v>3563.5</v>
      </c>
      <c r="C253">
        <v>3585.7700199999999</v>
      </c>
      <c r="D253">
        <v>3492.01001</v>
      </c>
      <c r="E253">
        <v>3507.070068</v>
      </c>
      <c r="F253">
        <v>4001100</v>
      </c>
      <c r="G253">
        <f t="shared" si="11"/>
        <v>-56.429932000000008</v>
      </c>
      <c r="H253">
        <f t="shared" si="9"/>
        <v>4.0011000000000001</v>
      </c>
      <c r="I253">
        <f t="shared" si="10"/>
        <v>93.760009999999966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B8E2-C4E5-AE48-BC2E-8A582A01724D}">
  <dimension ref="B3:J18"/>
  <sheetViews>
    <sheetView topLeftCell="A24" zoomScaleNormal="100" workbookViewId="0">
      <selection activeCell="R37" sqref="R37"/>
    </sheetView>
  </sheetViews>
  <sheetFormatPr baseColWidth="10" defaultRowHeight="16" x14ac:dyDescent="0.2"/>
  <cols>
    <col min="9" max="9" width="11.33203125" bestFit="1" customWidth="1"/>
    <col min="10" max="10" width="11.83203125" bestFit="1" customWidth="1"/>
  </cols>
  <sheetData>
    <row r="3" spans="2:10" x14ac:dyDescent="0.2">
      <c r="B3" s="29" t="s">
        <v>17</v>
      </c>
      <c r="C3" s="29"/>
      <c r="I3" s="8" t="s">
        <v>35</v>
      </c>
      <c r="J3" s="7" t="s">
        <v>36</v>
      </c>
    </row>
    <row r="4" spans="2:10" x14ac:dyDescent="0.2">
      <c r="B4" s="3" t="s">
        <v>15</v>
      </c>
      <c r="C4" s="3">
        <f>COUNTIF(Amazon_stock!G:G,"&gt;0")</f>
        <v>122</v>
      </c>
      <c r="I4" s="5" t="s">
        <v>20</v>
      </c>
      <c r="J4">
        <v>-47.939452000000529</v>
      </c>
    </row>
    <row r="5" spans="2:10" x14ac:dyDescent="0.2">
      <c r="B5" s="3" t="s">
        <v>16</v>
      </c>
      <c r="C5" s="3">
        <f>COUNTIF(Amazon_stock!G:G,"&lt;0")</f>
        <v>129</v>
      </c>
      <c r="I5" s="6" t="s">
        <v>23</v>
      </c>
      <c r="J5">
        <v>-47.939452000000529</v>
      </c>
    </row>
    <row r="6" spans="2:10" x14ac:dyDescent="0.2">
      <c r="B6" s="3" t="s">
        <v>19</v>
      </c>
      <c r="C6" s="3">
        <f>COUNTIF(Amazon_stock!G:G,"=0")</f>
        <v>1</v>
      </c>
      <c r="I6" s="5" t="s">
        <v>21</v>
      </c>
      <c r="J6">
        <v>-269.9423979999965</v>
      </c>
    </row>
    <row r="7" spans="2:10" x14ac:dyDescent="0.2">
      <c r="I7" s="6" t="s">
        <v>24</v>
      </c>
      <c r="J7">
        <v>-123.25073199999952</v>
      </c>
    </row>
    <row r="8" spans="2:10" x14ac:dyDescent="0.2">
      <c r="I8" s="6" t="s">
        <v>25</v>
      </c>
      <c r="J8">
        <v>-72.010742999999366</v>
      </c>
    </row>
    <row r="9" spans="2:10" x14ac:dyDescent="0.2">
      <c r="I9" s="6" t="s">
        <v>26</v>
      </c>
      <c r="J9">
        <v>-145.15967099999989</v>
      </c>
    </row>
    <row r="10" spans="2:10" x14ac:dyDescent="0.2">
      <c r="I10" s="6" t="s">
        <v>27</v>
      </c>
      <c r="J10">
        <v>93.269287000000531</v>
      </c>
    </row>
    <row r="11" spans="2:10" x14ac:dyDescent="0.2">
      <c r="I11" s="6" t="s">
        <v>28</v>
      </c>
      <c r="J11">
        <v>-300.96997199999987</v>
      </c>
    </row>
    <row r="12" spans="2:10" x14ac:dyDescent="0.2">
      <c r="I12" s="6" t="s">
        <v>29</v>
      </c>
      <c r="J12">
        <v>169.65917800000079</v>
      </c>
    </row>
    <row r="13" spans="2:10" x14ac:dyDescent="0.2">
      <c r="I13" s="6" t="s">
        <v>30</v>
      </c>
      <c r="J13">
        <v>69.189696000000367</v>
      </c>
    </row>
    <row r="14" spans="2:10" x14ac:dyDescent="0.2">
      <c r="I14" s="6" t="s">
        <v>31</v>
      </c>
      <c r="J14">
        <v>47.449705000000449</v>
      </c>
    </row>
    <row r="15" spans="2:10" x14ac:dyDescent="0.2">
      <c r="I15" s="6" t="s">
        <v>32</v>
      </c>
      <c r="J15">
        <v>-110.43994199999997</v>
      </c>
    </row>
    <row r="16" spans="2:10" x14ac:dyDescent="0.2">
      <c r="I16" s="6" t="s">
        <v>33</v>
      </c>
      <c r="J16">
        <v>122.59057499999972</v>
      </c>
    </row>
    <row r="17" spans="9:10" x14ac:dyDescent="0.2">
      <c r="I17" s="6" t="s">
        <v>34</v>
      </c>
      <c r="J17">
        <v>-20.269778999999744</v>
      </c>
    </row>
    <row r="18" spans="9:10" x14ac:dyDescent="0.2">
      <c r="I18" s="5" t="s">
        <v>22</v>
      </c>
      <c r="J18">
        <v>-317.88184999999703</v>
      </c>
    </row>
  </sheetData>
  <mergeCells count="1">
    <mergeCell ref="B3:C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BDCE-06E9-DB44-933E-0AB98F61B89B}">
  <dimension ref="A1"/>
  <sheetViews>
    <sheetView zoomScale="90" zoomScaleNormal="90" workbookViewId="0">
      <selection activeCell="F53" sqref="F53"/>
    </sheetView>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48F6D-A352-BD40-BDE1-29A2F379D3DD}">
  <dimension ref="A1"/>
  <sheetViews>
    <sheetView workbookViewId="0">
      <selection activeCell="K11" sqref="K11"/>
    </sheetView>
  </sheetViews>
  <sheetFormatPr baseColWidth="10" defaultRowHeight="16"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74B0-E155-AD48-8A13-E83ACFD9E90A}">
  <dimension ref="A1"/>
  <sheetViews>
    <sheetView workbookViewId="0">
      <selection activeCell="B33" sqref="B33"/>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Final_report</vt:lpstr>
      <vt:lpstr>Info</vt:lpstr>
      <vt:lpstr>Amazon_stock</vt:lpstr>
      <vt:lpstr>Daily_change</vt:lpstr>
      <vt:lpstr>Volume_analysis</vt:lpstr>
      <vt:lpstr>High_vs_low</vt:lpstr>
      <vt:lpstr>Volume_vs_price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Sylwia Zaroślak sz67598</dc:creator>
  <cp:lastModifiedBy>Sylwia Zaroślak sz67598</cp:lastModifiedBy>
  <dcterms:created xsi:type="dcterms:W3CDTF">2026-06-21T21:24:05Z</dcterms:created>
  <dcterms:modified xsi:type="dcterms:W3CDTF">2026-06-22T14:02:32Z</dcterms:modified>
</cp:coreProperties>
</file>